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valer\Desktop\"/>
    </mc:Choice>
  </mc:AlternateContent>
  <xr:revisionPtr revIDLastSave="0" documentId="13_ncr:1_{1B09C372-7835-488A-9B07-2E556DCA71D7}" xr6:coauthVersionLast="47" xr6:coauthVersionMax="47" xr10:uidLastSave="{00000000-0000-0000-0000-000000000000}"/>
  <bookViews>
    <workbookView xWindow="1512" yWindow="1212" windowWidth="21528" windowHeight="124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1" l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30" i="1"/>
  <c r="R25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10" i="1"/>
  <c r="K45" i="1"/>
  <c r="J45" i="1"/>
  <c r="I45" i="1"/>
  <c r="H45" i="1"/>
  <c r="K44" i="1"/>
  <c r="J44" i="1"/>
  <c r="I44" i="1"/>
  <c r="H44" i="1"/>
  <c r="O44" i="1" s="1"/>
  <c r="P44" i="1" s="1"/>
  <c r="K43" i="1"/>
  <c r="J43" i="1"/>
  <c r="I43" i="1"/>
  <c r="H43" i="1"/>
  <c r="O43" i="1" s="1"/>
  <c r="P43" i="1" s="1"/>
  <c r="K42" i="1"/>
  <c r="J42" i="1"/>
  <c r="I42" i="1"/>
  <c r="L42" i="1" s="1"/>
  <c r="M42" i="1" s="1"/>
  <c r="H42" i="1"/>
  <c r="O42" i="1" s="1"/>
  <c r="P42" i="1" s="1"/>
  <c r="K41" i="1"/>
  <c r="J41" i="1"/>
  <c r="I41" i="1"/>
  <c r="H41" i="1"/>
  <c r="K40" i="1"/>
  <c r="J40" i="1"/>
  <c r="I40" i="1"/>
  <c r="H40" i="1"/>
  <c r="O40" i="1" s="1"/>
  <c r="P40" i="1" s="1"/>
  <c r="K39" i="1"/>
  <c r="J39" i="1"/>
  <c r="I39" i="1"/>
  <c r="H39" i="1"/>
  <c r="O39" i="1" s="1"/>
  <c r="P39" i="1" s="1"/>
  <c r="K38" i="1"/>
  <c r="J38" i="1"/>
  <c r="I38" i="1"/>
  <c r="L38" i="1" s="1"/>
  <c r="M38" i="1" s="1"/>
  <c r="H38" i="1"/>
  <c r="O38" i="1" s="1"/>
  <c r="P38" i="1" s="1"/>
  <c r="K37" i="1"/>
  <c r="J37" i="1"/>
  <c r="I37" i="1"/>
  <c r="H37" i="1"/>
  <c r="K36" i="1"/>
  <c r="J36" i="1"/>
  <c r="I36" i="1"/>
  <c r="H36" i="1"/>
  <c r="O36" i="1" s="1"/>
  <c r="P36" i="1" s="1"/>
  <c r="K35" i="1"/>
  <c r="J35" i="1"/>
  <c r="I35" i="1"/>
  <c r="H35" i="1"/>
  <c r="O35" i="1" s="1"/>
  <c r="P35" i="1" s="1"/>
  <c r="K34" i="1"/>
  <c r="J34" i="1"/>
  <c r="I34" i="1"/>
  <c r="L34" i="1" s="1"/>
  <c r="M34" i="1" s="1"/>
  <c r="H34" i="1"/>
  <c r="O34" i="1" s="1"/>
  <c r="P34" i="1" s="1"/>
  <c r="K33" i="1"/>
  <c r="J33" i="1"/>
  <c r="I33" i="1"/>
  <c r="H33" i="1"/>
  <c r="K32" i="1"/>
  <c r="J32" i="1"/>
  <c r="I32" i="1"/>
  <c r="H32" i="1"/>
  <c r="O32" i="1" s="1"/>
  <c r="P32" i="1" s="1"/>
  <c r="K31" i="1"/>
  <c r="J31" i="1"/>
  <c r="I31" i="1"/>
  <c r="H31" i="1"/>
  <c r="O31" i="1" s="1"/>
  <c r="P31" i="1" s="1"/>
  <c r="K30" i="1"/>
  <c r="J30" i="1"/>
  <c r="I30" i="1"/>
  <c r="L30" i="1" s="1"/>
  <c r="M30" i="1" s="1"/>
  <c r="H30" i="1"/>
  <c r="O30" i="1" s="1"/>
  <c r="P30" i="1" s="1"/>
  <c r="H11" i="1"/>
  <c r="O11" i="1" s="1"/>
  <c r="H12" i="1"/>
  <c r="O12" i="1" s="1"/>
  <c r="H13" i="1"/>
  <c r="O13" i="1" s="1"/>
  <c r="H14" i="1"/>
  <c r="O14" i="1" s="1"/>
  <c r="H15" i="1"/>
  <c r="O15" i="1" s="1"/>
  <c r="H16" i="1"/>
  <c r="O16" i="1" s="1"/>
  <c r="H17" i="1"/>
  <c r="O17" i="1" s="1"/>
  <c r="H18" i="1"/>
  <c r="O18" i="1" s="1"/>
  <c r="H19" i="1"/>
  <c r="O19" i="1" s="1"/>
  <c r="H20" i="1"/>
  <c r="O20" i="1" s="1"/>
  <c r="H21" i="1"/>
  <c r="O21" i="1" s="1"/>
  <c r="H22" i="1"/>
  <c r="H23" i="1"/>
  <c r="O23" i="1" s="1"/>
  <c r="H24" i="1"/>
  <c r="O24" i="1" s="1"/>
  <c r="H25" i="1"/>
  <c r="H10" i="1"/>
  <c r="O10" i="1" s="1"/>
  <c r="P10" i="1" s="1"/>
  <c r="L23" i="1"/>
  <c r="M23" i="1" s="1"/>
  <c r="I11" i="1"/>
  <c r="L11" i="1" s="1"/>
  <c r="I12" i="1"/>
  <c r="L12" i="1" s="1"/>
  <c r="M12" i="1" s="1"/>
  <c r="I13" i="1"/>
  <c r="L13" i="1" s="1"/>
  <c r="M13" i="1" s="1"/>
  <c r="I14" i="1"/>
  <c r="L14" i="1" s="1"/>
  <c r="M14" i="1" s="1"/>
  <c r="I15" i="1"/>
  <c r="L15" i="1" s="1"/>
  <c r="M15" i="1" s="1"/>
  <c r="I16" i="1"/>
  <c r="L16" i="1" s="1"/>
  <c r="M16" i="1" s="1"/>
  <c r="N16" i="1" s="1"/>
  <c r="I17" i="1"/>
  <c r="L17" i="1" s="1"/>
  <c r="M17" i="1" s="1"/>
  <c r="N17" i="1" s="1"/>
  <c r="I18" i="1"/>
  <c r="I19" i="1"/>
  <c r="L19" i="1" s="1"/>
  <c r="M19" i="1" s="1"/>
  <c r="N19" i="1" s="1"/>
  <c r="I20" i="1"/>
  <c r="I21" i="1"/>
  <c r="L21" i="1" s="1"/>
  <c r="M21" i="1" s="1"/>
  <c r="I22" i="1"/>
  <c r="L22" i="1" s="1"/>
  <c r="M22" i="1" s="1"/>
  <c r="I23" i="1"/>
  <c r="I24" i="1"/>
  <c r="L24" i="1" s="1"/>
  <c r="I25" i="1"/>
  <c r="L25" i="1" s="1"/>
  <c r="I10" i="1"/>
  <c r="L10" i="1" s="1"/>
  <c r="C4" i="1"/>
  <c r="K25" i="1"/>
  <c r="K24" i="1"/>
  <c r="K23" i="1"/>
  <c r="N23" i="1" s="1"/>
  <c r="K22" i="1"/>
  <c r="K21" i="1"/>
  <c r="K20" i="1"/>
  <c r="N20" i="1" s="1"/>
  <c r="K19" i="1"/>
  <c r="K18" i="1"/>
  <c r="K17" i="1"/>
  <c r="K16" i="1"/>
  <c r="K15" i="1"/>
  <c r="N15" i="1" s="1"/>
  <c r="K14" i="1"/>
  <c r="N14" i="1" s="1"/>
  <c r="K13" i="1"/>
  <c r="N13" i="1" s="1"/>
  <c r="K12" i="1"/>
  <c r="N12" i="1" s="1"/>
  <c r="K11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10" i="1"/>
  <c r="C5" i="1"/>
  <c r="L20" i="1" s="1"/>
  <c r="M20" i="1" s="1"/>
  <c r="N21" i="1" l="1"/>
  <c r="N22" i="1"/>
  <c r="L43" i="1"/>
  <c r="M43" i="1" s="1"/>
  <c r="N43" i="1" s="1"/>
  <c r="L44" i="1"/>
  <c r="M44" i="1" s="1"/>
  <c r="O33" i="1"/>
  <c r="P33" i="1" s="1"/>
  <c r="O37" i="1"/>
  <c r="P37" i="1" s="1"/>
  <c r="O41" i="1"/>
  <c r="P41" i="1" s="1"/>
  <c r="O45" i="1"/>
  <c r="P45" i="1" s="1"/>
  <c r="O25" i="1"/>
  <c r="P25" i="1" s="1"/>
  <c r="P22" i="1"/>
  <c r="P21" i="1"/>
  <c r="L31" i="1"/>
  <c r="M31" i="1" s="1"/>
  <c r="N31" i="1" s="1"/>
  <c r="L18" i="1"/>
  <c r="M18" i="1" s="1"/>
  <c r="N18" i="1" s="1"/>
  <c r="L32" i="1"/>
  <c r="M32" i="1" s="1"/>
  <c r="N32" i="1" s="1"/>
  <c r="L45" i="1"/>
  <c r="M45" i="1" s="1"/>
  <c r="P24" i="1"/>
  <c r="L35" i="1"/>
  <c r="M35" i="1" s="1"/>
  <c r="L36" i="1"/>
  <c r="M36" i="1" s="1"/>
  <c r="N36" i="1" s="1"/>
  <c r="L41" i="1"/>
  <c r="M41" i="1" s="1"/>
  <c r="O22" i="1"/>
  <c r="L39" i="1"/>
  <c r="M39" i="1" s="1"/>
  <c r="L40" i="1"/>
  <c r="M40" i="1" s="1"/>
  <c r="N40" i="1" s="1"/>
  <c r="L33" i="1"/>
  <c r="M33" i="1" s="1"/>
  <c r="N33" i="1" s="1"/>
  <c r="L37" i="1"/>
  <c r="M37" i="1" s="1"/>
  <c r="N35" i="1"/>
  <c r="N37" i="1"/>
  <c r="N44" i="1"/>
  <c r="N42" i="1"/>
  <c r="N39" i="1"/>
  <c r="N30" i="1"/>
  <c r="N34" i="1"/>
  <c r="N41" i="1"/>
  <c r="N38" i="1"/>
  <c r="N45" i="1"/>
  <c r="P23" i="1"/>
  <c r="P11" i="1"/>
  <c r="M24" i="1"/>
  <c r="N24" i="1" s="1"/>
  <c r="P20" i="1"/>
  <c r="P19" i="1"/>
  <c r="P18" i="1"/>
  <c r="P17" i="1"/>
  <c r="P16" i="1"/>
  <c r="P15" i="1"/>
  <c r="M11" i="1"/>
  <c r="N11" i="1" s="1"/>
  <c r="P14" i="1"/>
  <c r="M10" i="1"/>
  <c r="N10" i="1" s="1"/>
  <c r="P13" i="1"/>
  <c r="M25" i="1"/>
  <c r="N25" i="1" s="1"/>
  <c r="P12" i="1"/>
</calcChain>
</file>

<file path=xl/sharedStrings.xml><?xml version="1.0" encoding="utf-8"?>
<sst xmlns="http://schemas.openxmlformats.org/spreadsheetml/2006/main" count="34" uniqueCount="20">
  <si>
    <t>Corrente Carico</t>
  </si>
  <si>
    <t>V Out DCDC</t>
  </si>
  <si>
    <t>FIL=</t>
  </si>
  <si>
    <t>Resistenza filo da Alim+ a DCDC+</t>
  </si>
  <si>
    <t>V In DCDC</t>
  </si>
  <si>
    <t>R load</t>
  </si>
  <si>
    <t>P Out</t>
  </si>
  <si>
    <t>P In</t>
  </si>
  <si>
    <t>I In DCDC</t>
  </si>
  <si>
    <t>V Shunt</t>
  </si>
  <si>
    <t xml:space="preserve">R shunt </t>
  </si>
  <si>
    <t>I Shunt</t>
  </si>
  <si>
    <t>Error I Read</t>
  </si>
  <si>
    <t>V su FIL V</t>
  </si>
  <si>
    <t>mV su FIL</t>
  </si>
  <si>
    <t>mV Shunt</t>
  </si>
  <si>
    <t>Eff</t>
  </si>
  <si>
    <t>Misure con carico 0,375</t>
  </si>
  <si>
    <t>Misure con carico 0,188</t>
  </si>
  <si>
    <t>Resistenza di base delle varie 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</si>
</sst>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R45"/>
  <sheetViews>
    <sheetView tabSelected="1" topLeftCell="A4" zoomScale="85" zoomScaleNormal="85" workbookViewId="0">
      <selection activeCell="B48" sqref="B48:E54"/>
    </sheetView>
  </sheetViews>
  <sheetFormatPr defaultRowHeight="14.4" x14ac:dyDescent="0.3"/>
  <cols>
    <col min="2" max="2" width="30.88671875" customWidth="1"/>
    <col min="3" max="3" width="12.21875" customWidth="1"/>
    <col min="4" max="4" width="9.88671875" customWidth="1"/>
    <col min="8" max="8" width="8.6640625" customWidth="1"/>
    <col min="9" max="9" width="9.88671875" customWidth="1"/>
    <col min="10" max="10" width="13.33203125" customWidth="1"/>
    <col min="11" max="11" width="8.5546875" customWidth="1"/>
    <col min="12" max="12" width="10.5546875" customWidth="1"/>
    <col min="13" max="14" width="12.44140625" bestFit="1" customWidth="1"/>
    <col min="15" max="15" width="6.6640625" bestFit="1" customWidth="1"/>
    <col min="16" max="16" width="10.77734375" bestFit="1" customWidth="1"/>
  </cols>
  <sheetData>
    <row r="4" spans="1:18" x14ac:dyDescent="0.3">
      <c r="B4" t="s">
        <v>10</v>
      </c>
      <c r="C4">
        <f>0.075/30</f>
        <v>2.5000000000000001E-3</v>
      </c>
    </row>
    <row r="5" spans="1:18" x14ac:dyDescent="0.3">
      <c r="A5" t="s">
        <v>2</v>
      </c>
      <c r="B5" t="s">
        <v>3</v>
      </c>
      <c r="C5">
        <f>3.42/1000</f>
        <v>3.4199999999999999E-3</v>
      </c>
    </row>
    <row r="6" spans="1:18" x14ac:dyDescent="0.3">
      <c r="B6" t="s">
        <v>19</v>
      </c>
      <c r="C6">
        <v>0.375</v>
      </c>
      <c r="D6">
        <v>0.188</v>
      </c>
      <c r="E6">
        <v>9.5000000000000001E-2</v>
      </c>
    </row>
    <row r="8" spans="1:18" x14ac:dyDescent="0.3">
      <c r="B8" t="s">
        <v>17</v>
      </c>
    </row>
    <row r="9" spans="1:18" x14ac:dyDescent="0.3">
      <c r="B9" s="4" t="s">
        <v>0</v>
      </c>
      <c r="C9" s="4" t="s">
        <v>1</v>
      </c>
      <c r="D9" s="4" t="s">
        <v>4</v>
      </c>
      <c r="E9" s="4" t="s">
        <v>14</v>
      </c>
      <c r="F9" s="4" t="s">
        <v>15</v>
      </c>
      <c r="G9" s="4"/>
      <c r="H9" s="4" t="s">
        <v>9</v>
      </c>
      <c r="I9" s="4" t="s">
        <v>13</v>
      </c>
      <c r="J9" s="4" t="s">
        <v>5</v>
      </c>
      <c r="K9" s="4" t="s">
        <v>6</v>
      </c>
      <c r="L9" s="4" t="s">
        <v>8</v>
      </c>
      <c r="M9" s="4" t="s">
        <v>7</v>
      </c>
      <c r="N9" s="4" t="s">
        <v>16</v>
      </c>
      <c r="O9" s="4" t="s">
        <v>11</v>
      </c>
      <c r="P9" s="4" t="s">
        <v>12</v>
      </c>
    </row>
    <row r="10" spans="1:18" x14ac:dyDescent="0.3">
      <c r="B10" s="4">
        <v>1</v>
      </c>
      <c r="C10" s="4">
        <v>0.40500000000000003</v>
      </c>
      <c r="D10" s="4">
        <v>23.9</v>
      </c>
      <c r="E10" s="4">
        <v>0.86</v>
      </c>
      <c r="F10" s="4">
        <v>2.6</v>
      </c>
      <c r="G10" s="4"/>
      <c r="H10" s="4">
        <f>F10/1000</f>
        <v>2.5999999999999999E-3</v>
      </c>
      <c r="I10" s="4">
        <f>E10/1000</f>
        <v>8.5999999999999998E-4</v>
      </c>
      <c r="J10" s="4">
        <f>C10/B10</f>
        <v>0.40500000000000003</v>
      </c>
      <c r="K10" s="4">
        <f>B10*C10</f>
        <v>0.40500000000000003</v>
      </c>
      <c r="L10" s="5">
        <f>I10/$C$5</f>
        <v>0.25146198830409355</v>
      </c>
      <c r="M10" s="5">
        <f>D10*L10</f>
        <v>6.0099415204678355</v>
      </c>
      <c r="N10" s="5">
        <f>K10/M10</f>
        <v>6.7388342901625001E-2</v>
      </c>
      <c r="O10" s="4">
        <f>H10/$C$4</f>
        <v>1.04</v>
      </c>
      <c r="P10" s="4">
        <f>ABS(O10-B10)</f>
        <v>4.0000000000000036E-2</v>
      </c>
      <c r="R10">
        <f>M10*(1-N10)</f>
        <v>5.6049415204678352</v>
      </c>
    </row>
    <row r="11" spans="1:18" x14ac:dyDescent="0.3">
      <c r="B11" s="4">
        <v>2</v>
      </c>
      <c r="C11" s="4">
        <v>0.78500000000000003</v>
      </c>
      <c r="D11" s="4">
        <v>23.9</v>
      </c>
      <c r="E11" s="4">
        <v>1.1200000000000001</v>
      </c>
      <c r="F11" s="4">
        <v>5.0999999999999996</v>
      </c>
      <c r="G11" s="4"/>
      <c r="H11" s="4">
        <f t="shared" ref="H11:H25" si="0">F11/1000</f>
        <v>5.0999999999999995E-3</v>
      </c>
      <c r="I11" s="4">
        <f t="shared" ref="I11:I25" si="1">E11/1000</f>
        <v>1.1200000000000001E-3</v>
      </c>
      <c r="J11" s="4">
        <f>C11/B11</f>
        <v>0.39250000000000002</v>
      </c>
      <c r="K11" s="4">
        <f>B11*C11</f>
        <v>1.57</v>
      </c>
      <c r="L11" s="5">
        <f t="shared" ref="L11:L25" si="2">I11/$C$5</f>
        <v>0.3274853801169591</v>
      </c>
      <c r="M11" s="5">
        <f>D11*L11</f>
        <v>7.8269005847953217</v>
      </c>
      <c r="N11" s="5">
        <f t="shared" ref="N11:N25" si="3">K11/M11</f>
        <v>0.20059025702331143</v>
      </c>
      <c r="O11" s="4">
        <f t="shared" ref="O11:O25" si="4">H11/$C$4</f>
        <v>2.0399999999999996</v>
      </c>
      <c r="P11" s="4">
        <f>ABS(O11-B11)</f>
        <v>3.9999999999999591E-2</v>
      </c>
      <c r="R11">
        <f t="shared" ref="R11:R24" si="5">M11*(1-N11)</f>
        <v>6.2569005847953214</v>
      </c>
    </row>
    <row r="12" spans="1:18" x14ac:dyDescent="0.3">
      <c r="B12" s="4">
        <v>4</v>
      </c>
      <c r="C12" s="4">
        <v>1.55</v>
      </c>
      <c r="D12" s="4">
        <v>23.9</v>
      </c>
      <c r="E12" s="4">
        <v>2</v>
      </c>
      <c r="F12" s="4">
        <v>10.3</v>
      </c>
      <c r="G12" s="4"/>
      <c r="H12" s="4">
        <f t="shared" si="0"/>
        <v>1.03E-2</v>
      </c>
      <c r="I12" s="4">
        <f t="shared" si="1"/>
        <v>2E-3</v>
      </c>
      <c r="J12" s="4">
        <f>C12/B12</f>
        <v>0.38750000000000001</v>
      </c>
      <c r="K12" s="4">
        <f>B12*C12</f>
        <v>6.2</v>
      </c>
      <c r="L12" s="5">
        <f t="shared" si="2"/>
        <v>0.58479532163742698</v>
      </c>
      <c r="M12" s="5">
        <f>D12*L12</f>
        <v>13.976608187134504</v>
      </c>
      <c r="N12" s="5">
        <f t="shared" si="3"/>
        <v>0.4435983263598326</v>
      </c>
      <c r="O12" s="4">
        <f t="shared" si="4"/>
        <v>4.12</v>
      </c>
      <c r="P12" s="4">
        <f>ABS(O12-B12)</f>
        <v>0.12000000000000011</v>
      </c>
      <c r="R12">
        <f t="shared" si="5"/>
        <v>7.776608187134503</v>
      </c>
    </row>
    <row r="13" spans="1:18" x14ac:dyDescent="0.3">
      <c r="B13" s="4">
        <v>6</v>
      </c>
      <c r="C13" s="4">
        <v>2.2999999999999998</v>
      </c>
      <c r="D13" s="4">
        <v>23.9</v>
      </c>
      <c r="E13" s="4">
        <v>3.4</v>
      </c>
      <c r="F13" s="4">
        <v>15.6</v>
      </c>
      <c r="G13" s="4"/>
      <c r="H13" s="4">
        <f t="shared" si="0"/>
        <v>1.5599999999999999E-2</v>
      </c>
      <c r="I13" s="4">
        <f t="shared" si="1"/>
        <v>3.3999999999999998E-3</v>
      </c>
      <c r="J13" s="4">
        <f>C13/B13</f>
        <v>0.3833333333333333</v>
      </c>
      <c r="K13" s="4">
        <f>B13*C13</f>
        <v>13.799999999999999</v>
      </c>
      <c r="L13" s="5">
        <f t="shared" si="2"/>
        <v>0.99415204678362568</v>
      </c>
      <c r="M13" s="5">
        <f>D13*L13</f>
        <v>23.760233918128652</v>
      </c>
      <c r="N13" s="5">
        <f t="shared" si="3"/>
        <v>0.58080236278611863</v>
      </c>
      <c r="O13" s="4">
        <f t="shared" si="4"/>
        <v>6.2399999999999993</v>
      </c>
      <c r="P13" s="4">
        <f>ABS(O13-B13)</f>
        <v>0.23999999999999932</v>
      </c>
      <c r="R13">
        <f t="shared" si="5"/>
        <v>9.9602339181286528</v>
      </c>
    </row>
    <row r="14" spans="1:18" x14ac:dyDescent="0.3">
      <c r="B14" s="4">
        <v>8</v>
      </c>
      <c r="C14" s="4">
        <v>3.06</v>
      </c>
      <c r="D14" s="4">
        <v>23.9</v>
      </c>
      <c r="E14" s="4">
        <v>5.33</v>
      </c>
      <c r="F14" s="4">
        <v>20.8</v>
      </c>
      <c r="G14" s="4"/>
      <c r="H14" s="4">
        <f t="shared" si="0"/>
        <v>2.0799999999999999E-2</v>
      </c>
      <c r="I14" s="4">
        <f t="shared" si="1"/>
        <v>5.3299999999999997E-3</v>
      </c>
      <c r="J14" s="4">
        <f>C14/B14</f>
        <v>0.38250000000000001</v>
      </c>
      <c r="K14" s="4">
        <f>B14*C14</f>
        <v>24.48</v>
      </c>
      <c r="L14" s="5">
        <f t="shared" si="2"/>
        <v>1.5584795321637426</v>
      </c>
      <c r="M14" s="5">
        <f>D14*L14</f>
        <v>37.247660818713449</v>
      </c>
      <c r="N14" s="5">
        <f t="shared" si="3"/>
        <v>0.65722247953087842</v>
      </c>
      <c r="O14" s="4">
        <f t="shared" si="4"/>
        <v>8.32</v>
      </c>
      <c r="P14" s="4">
        <f>ABS(O14-B14)</f>
        <v>0.32000000000000028</v>
      </c>
      <c r="R14">
        <f t="shared" si="5"/>
        <v>12.767660818713447</v>
      </c>
    </row>
    <row r="15" spans="1:18" x14ac:dyDescent="0.3">
      <c r="B15" s="4">
        <v>10</v>
      </c>
      <c r="C15" s="4">
        <v>3.82</v>
      </c>
      <c r="D15" s="4">
        <v>23.9</v>
      </c>
      <c r="E15" s="4">
        <v>7.75</v>
      </c>
      <c r="F15" s="4">
        <v>26</v>
      </c>
      <c r="G15" s="4"/>
      <c r="H15" s="4">
        <f t="shared" si="0"/>
        <v>2.5999999999999999E-2</v>
      </c>
      <c r="I15" s="4">
        <f t="shared" si="1"/>
        <v>7.7499999999999999E-3</v>
      </c>
      <c r="J15" s="4">
        <f>C15/B15</f>
        <v>0.38200000000000001</v>
      </c>
      <c r="K15" s="4">
        <f>B15*C15</f>
        <v>38.199999999999996</v>
      </c>
      <c r="L15" s="5">
        <f t="shared" si="2"/>
        <v>2.2660818713450293</v>
      </c>
      <c r="M15" s="5">
        <f>D15*L15</f>
        <v>54.159356725146196</v>
      </c>
      <c r="N15" s="5">
        <f t="shared" si="3"/>
        <v>0.70532595491969219</v>
      </c>
      <c r="O15" s="4">
        <f t="shared" si="4"/>
        <v>10.399999999999999</v>
      </c>
      <c r="P15" s="4">
        <f>ABS(O15-B15)</f>
        <v>0.39999999999999858</v>
      </c>
      <c r="R15">
        <f t="shared" si="5"/>
        <v>15.959356725146202</v>
      </c>
    </row>
    <row r="16" spans="1:18" x14ac:dyDescent="0.3">
      <c r="B16" s="4">
        <v>12</v>
      </c>
      <c r="C16" s="4">
        <v>4.5999999999999996</v>
      </c>
      <c r="D16" s="4">
        <v>23.9</v>
      </c>
      <c r="E16" s="4">
        <v>10.87</v>
      </c>
      <c r="F16" s="4">
        <v>31.3</v>
      </c>
      <c r="G16" s="4"/>
      <c r="H16" s="4">
        <f t="shared" si="0"/>
        <v>3.1300000000000001E-2</v>
      </c>
      <c r="I16" s="4">
        <f t="shared" si="1"/>
        <v>1.0869999999999999E-2</v>
      </c>
      <c r="J16" s="4">
        <f>C16/B16</f>
        <v>0.3833333333333333</v>
      </c>
      <c r="K16" s="4">
        <f>B16*C16</f>
        <v>55.199999999999996</v>
      </c>
      <c r="L16" s="5">
        <f t="shared" si="2"/>
        <v>3.1783625730994154</v>
      </c>
      <c r="M16" s="5">
        <f>D16*L16</f>
        <v>75.962865497076024</v>
      </c>
      <c r="N16" s="5">
        <f t="shared" si="3"/>
        <v>0.72667084948401217</v>
      </c>
      <c r="O16" s="4">
        <f t="shared" si="4"/>
        <v>12.52</v>
      </c>
      <c r="P16" s="4">
        <f>ABS(O16-B16)</f>
        <v>0.51999999999999957</v>
      </c>
      <c r="R16">
        <f t="shared" si="5"/>
        <v>20.762865497076032</v>
      </c>
    </row>
    <row r="17" spans="2:18" x14ac:dyDescent="0.3">
      <c r="B17" s="4">
        <v>14</v>
      </c>
      <c r="C17" s="4">
        <v>5.4</v>
      </c>
      <c r="D17" s="4">
        <v>23.9</v>
      </c>
      <c r="E17" s="4">
        <v>14.5</v>
      </c>
      <c r="F17" s="4">
        <v>36.4</v>
      </c>
      <c r="G17" s="4"/>
      <c r="H17" s="4">
        <f t="shared" si="0"/>
        <v>3.6400000000000002E-2</v>
      </c>
      <c r="I17" s="4">
        <f t="shared" si="1"/>
        <v>1.4500000000000001E-2</v>
      </c>
      <c r="J17" s="4">
        <f>C17/B17</f>
        <v>0.38571428571428573</v>
      </c>
      <c r="K17" s="4">
        <f>B17*C17</f>
        <v>75.600000000000009</v>
      </c>
      <c r="L17" s="5">
        <f t="shared" si="2"/>
        <v>4.2397660818713456</v>
      </c>
      <c r="M17" s="5">
        <f>D17*L17</f>
        <v>101.33040935672516</v>
      </c>
      <c r="N17" s="5">
        <f t="shared" si="3"/>
        <v>0.74607415957293322</v>
      </c>
      <c r="O17" s="4">
        <f t="shared" si="4"/>
        <v>14.56</v>
      </c>
      <c r="P17" s="4">
        <f>ABS(O17-B17)</f>
        <v>0.5600000000000005</v>
      </c>
      <c r="R17">
        <f t="shared" si="5"/>
        <v>25.730409356725147</v>
      </c>
    </row>
    <row r="18" spans="2:18" x14ac:dyDescent="0.3">
      <c r="B18" s="4">
        <v>16</v>
      </c>
      <c r="C18" s="4">
        <v>6.35</v>
      </c>
      <c r="D18" s="4">
        <v>23.9</v>
      </c>
      <c r="E18" s="4">
        <v>19.079999999999998</v>
      </c>
      <c r="F18" s="4">
        <v>41.6</v>
      </c>
      <c r="G18" s="4"/>
      <c r="H18" s="4">
        <f t="shared" si="0"/>
        <v>4.1599999999999998E-2</v>
      </c>
      <c r="I18" s="4">
        <f t="shared" si="1"/>
        <v>1.908E-2</v>
      </c>
      <c r="J18" s="4">
        <f>C18/B18</f>
        <v>0.39687499999999998</v>
      </c>
      <c r="K18" s="4">
        <f>B18*C18</f>
        <v>101.6</v>
      </c>
      <c r="L18" s="5">
        <f t="shared" si="2"/>
        <v>5.5789473684210531</v>
      </c>
      <c r="M18" s="5">
        <f>D18*L18</f>
        <v>133.33684210526317</v>
      </c>
      <c r="N18" s="5">
        <f t="shared" si="3"/>
        <v>0.7619799478961079</v>
      </c>
      <c r="O18" s="4">
        <f t="shared" si="4"/>
        <v>16.64</v>
      </c>
      <c r="P18" s="4">
        <f>ABS(O18-B18)</f>
        <v>0.64000000000000057</v>
      </c>
      <c r="R18">
        <f t="shared" si="5"/>
        <v>31.736842105263175</v>
      </c>
    </row>
    <row r="19" spans="2:18" x14ac:dyDescent="0.3">
      <c r="B19" s="4">
        <v>18</v>
      </c>
      <c r="C19" s="4">
        <v>7.08</v>
      </c>
      <c r="D19" s="4">
        <v>23.9</v>
      </c>
      <c r="E19" s="4">
        <v>23.9</v>
      </c>
      <c r="F19" s="4">
        <v>46.4</v>
      </c>
      <c r="G19" s="4"/>
      <c r="H19" s="4">
        <f t="shared" si="0"/>
        <v>4.6399999999999997E-2</v>
      </c>
      <c r="I19" s="4">
        <f t="shared" si="1"/>
        <v>2.3899999999999998E-2</v>
      </c>
      <c r="J19" s="4">
        <f>C19/B19</f>
        <v>0.39333333333333331</v>
      </c>
      <c r="K19" s="4">
        <f>B19*C19</f>
        <v>127.44</v>
      </c>
      <c r="L19" s="5">
        <f t="shared" si="2"/>
        <v>6.9883040935672511</v>
      </c>
      <c r="M19" s="5">
        <f>D19*L19</f>
        <v>167.0204678362573</v>
      </c>
      <c r="N19" s="5">
        <f t="shared" si="3"/>
        <v>0.76302025524763228</v>
      </c>
      <c r="O19" s="4">
        <f t="shared" si="4"/>
        <v>18.559999999999999</v>
      </c>
      <c r="P19" s="4">
        <f>ABS(O19-B19)</f>
        <v>0.55999999999999872</v>
      </c>
      <c r="R19">
        <f t="shared" si="5"/>
        <v>39.580467836257299</v>
      </c>
    </row>
    <row r="20" spans="2:18" x14ac:dyDescent="0.3">
      <c r="B20" s="4">
        <v>20</v>
      </c>
      <c r="C20" s="4">
        <v>8</v>
      </c>
      <c r="D20" s="4">
        <v>23.9</v>
      </c>
      <c r="E20" s="4">
        <v>29.7</v>
      </c>
      <c r="F20" s="4">
        <v>51.4</v>
      </c>
      <c r="G20" s="4"/>
      <c r="H20" s="4">
        <f t="shared" si="0"/>
        <v>5.1400000000000001E-2</v>
      </c>
      <c r="I20" s="4">
        <f t="shared" si="1"/>
        <v>2.9700000000000001E-2</v>
      </c>
      <c r="J20" s="4">
        <f>C20/B20</f>
        <v>0.4</v>
      </c>
      <c r="K20" s="4">
        <f>B20*C20</f>
        <v>160</v>
      </c>
      <c r="L20" s="5">
        <f t="shared" si="2"/>
        <v>8.6842105263157894</v>
      </c>
      <c r="M20" s="5">
        <f>D20*L20</f>
        <v>207.55263157894734</v>
      </c>
      <c r="N20" s="5">
        <f t="shared" si="3"/>
        <v>0.77088880436160778</v>
      </c>
      <c r="O20" s="4">
        <f t="shared" si="4"/>
        <v>20.56</v>
      </c>
      <c r="P20" s="4">
        <f>ABS(O20-B20)</f>
        <v>0.55999999999999872</v>
      </c>
      <c r="R20">
        <f t="shared" si="5"/>
        <v>47.552631578947349</v>
      </c>
    </row>
    <row r="21" spans="2:18" x14ac:dyDescent="0.3">
      <c r="B21" s="4">
        <v>22</v>
      </c>
      <c r="C21" s="4">
        <v>9.1999999999999993</v>
      </c>
      <c r="D21" s="4">
        <v>23.8</v>
      </c>
      <c r="E21" s="4">
        <v>36.799999999999997</v>
      </c>
      <c r="F21" s="4">
        <v>56.3</v>
      </c>
      <c r="G21" s="4"/>
      <c r="H21" s="4">
        <f t="shared" si="0"/>
        <v>5.6299999999999996E-2</v>
      </c>
      <c r="I21" s="4">
        <f t="shared" si="1"/>
        <v>3.6799999999999999E-2</v>
      </c>
      <c r="J21" s="4">
        <f>C21/B21</f>
        <v>0.41818181818181815</v>
      </c>
      <c r="K21" s="4">
        <f>B21*C21</f>
        <v>202.39999999999998</v>
      </c>
      <c r="L21" s="5">
        <f t="shared" si="2"/>
        <v>10.760233918128655</v>
      </c>
      <c r="M21" s="5">
        <f>D21*L21</f>
        <v>256.09356725146199</v>
      </c>
      <c r="N21" s="5">
        <f t="shared" si="3"/>
        <v>0.79033613445378137</v>
      </c>
      <c r="O21" s="4">
        <f t="shared" si="4"/>
        <v>22.52</v>
      </c>
      <c r="P21" s="4">
        <f>ABS(O21-B21)</f>
        <v>0.51999999999999957</v>
      </c>
      <c r="R21">
        <f t="shared" si="5"/>
        <v>53.693567251462028</v>
      </c>
    </row>
    <row r="22" spans="2:18" x14ac:dyDescent="0.3">
      <c r="B22" s="4">
        <v>24</v>
      </c>
      <c r="C22" s="4">
        <v>10.28</v>
      </c>
      <c r="D22" s="4">
        <v>23.8</v>
      </c>
      <c r="E22" s="4">
        <v>44.59</v>
      </c>
      <c r="F22" s="4">
        <v>61.2</v>
      </c>
      <c r="G22" s="4"/>
      <c r="H22" s="4">
        <f t="shared" si="0"/>
        <v>6.1200000000000004E-2</v>
      </c>
      <c r="I22" s="4">
        <f t="shared" si="1"/>
        <v>4.4590000000000005E-2</v>
      </c>
      <c r="J22" s="4">
        <f>C22/B22</f>
        <v>0.42833333333333329</v>
      </c>
      <c r="K22" s="4">
        <f>B22*C22</f>
        <v>246.71999999999997</v>
      </c>
      <c r="L22" s="5">
        <f t="shared" si="2"/>
        <v>13.038011695906434</v>
      </c>
      <c r="M22" s="5">
        <f>D22*L22</f>
        <v>310.30467836257316</v>
      </c>
      <c r="N22" s="5">
        <f t="shared" si="3"/>
        <v>0.79508952717664749</v>
      </c>
      <c r="O22" s="4">
        <f t="shared" si="4"/>
        <v>24.48</v>
      </c>
      <c r="P22" s="4">
        <f>ABS(O22-B22)</f>
        <v>0.48000000000000043</v>
      </c>
      <c r="R22">
        <f t="shared" si="5"/>
        <v>63.584678362573186</v>
      </c>
    </row>
    <row r="23" spans="2:18" x14ac:dyDescent="0.3">
      <c r="B23" s="4">
        <v>26</v>
      </c>
      <c r="C23" s="4">
        <v>11.09</v>
      </c>
      <c r="D23" s="4">
        <v>23.8</v>
      </c>
      <c r="E23" s="4">
        <v>52.24</v>
      </c>
      <c r="F23" s="4">
        <v>66.099999999999994</v>
      </c>
      <c r="G23" s="4"/>
      <c r="H23" s="4">
        <f t="shared" si="0"/>
        <v>6.6099999999999992E-2</v>
      </c>
      <c r="I23" s="4">
        <f t="shared" si="1"/>
        <v>5.2240000000000002E-2</v>
      </c>
      <c r="J23" s="4">
        <f>C23/B23</f>
        <v>0.42653846153846153</v>
      </c>
      <c r="K23" s="4">
        <f>B23*C23</f>
        <v>288.33999999999997</v>
      </c>
      <c r="L23" s="5">
        <f t="shared" si="2"/>
        <v>15.274853801169591</v>
      </c>
      <c r="M23" s="5">
        <f>D23*L23</f>
        <v>363.54152046783628</v>
      </c>
      <c r="N23" s="5">
        <f t="shared" si="3"/>
        <v>0.79314186624113647</v>
      </c>
      <c r="O23" s="4">
        <f t="shared" si="4"/>
        <v>26.439999999999998</v>
      </c>
      <c r="P23" s="4">
        <f>ABS(O23-B23)</f>
        <v>0.43999999999999773</v>
      </c>
      <c r="R23">
        <f t="shared" si="5"/>
        <v>75.201520467836303</v>
      </c>
    </row>
    <row r="24" spans="2:18" x14ac:dyDescent="0.3">
      <c r="B24" s="4">
        <v>28</v>
      </c>
      <c r="C24" s="4">
        <v>12.25</v>
      </c>
      <c r="D24" s="4">
        <v>23.8</v>
      </c>
      <c r="E24" s="4">
        <v>61.83</v>
      </c>
      <c r="F24" s="4">
        <v>71.5</v>
      </c>
      <c r="G24" s="4"/>
      <c r="H24" s="4">
        <f t="shared" si="0"/>
        <v>7.1499999999999994E-2</v>
      </c>
      <c r="I24" s="4">
        <f t="shared" si="1"/>
        <v>6.1829999999999996E-2</v>
      </c>
      <c r="J24" s="4">
        <f>C24/B24</f>
        <v>0.4375</v>
      </c>
      <c r="K24" s="4">
        <f>B24*C24</f>
        <v>343</v>
      </c>
      <c r="L24" s="5">
        <f t="shared" si="2"/>
        <v>18.078947368421051</v>
      </c>
      <c r="M24" s="5">
        <f>D24*L24</f>
        <v>430.27894736842103</v>
      </c>
      <c r="N24" s="5">
        <f t="shared" si="3"/>
        <v>0.79715729086394382</v>
      </c>
      <c r="O24" s="4">
        <f t="shared" si="4"/>
        <v>28.599999999999998</v>
      </c>
      <c r="P24" s="4">
        <f>ABS(O24-B24)</f>
        <v>0.59999999999999787</v>
      </c>
      <c r="R24">
        <f t="shared" si="5"/>
        <v>87.278947368421058</v>
      </c>
    </row>
    <row r="25" spans="2:18" x14ac:dyDescent="0.3">
      <c r="B25" s="4">
        <v>30</v>
      </c>
      <c r="C25" s="4">
        <v>13</v>
      </c>
      <c r="D25" s="4">
        <v>23.8</v>
      </c>
      <c r="E25" s="4">
        <v>70.599999999999994</v>
      </c>
      <c r="F25" s="4">
        <v>76.599999999999994</v>
      </c>
      <c r="G25" s="4"/>
      <c r="H25" s="4">
        <f t="shared" si="0"/>
        <v>7.6599999999999988E-2</v>
      </c>
      <c r="I25" s="4">
        <f t="shared" si="1"/>
        <v>7.0599999999999996E-2</v>
      </c>
      <c r="J25" s="4">
        <f>C25/B25</f>
        <v>0.43333333333333335</v>
      </c>
      <c r="K25" s="4">
        <f>B25*C25</f>
        <v>390</v>
      </c>
      <c r="L25" s="5">
        <f t="shared" si="2"/>
        <v>20.64327485380117</v>
      </c>
      <c r="M25" s="5">
        <f>D25*L25</f>
        <v>491.30994152046787</v>
      </c>
      <c r="N25" s="5">
        <f t="shared" si="3"/>
        <v>0.79379627204989633</v>
      </c>
      <c r="O25" s="4">
        <f t="shared" si="4"/>
        <v>30.639999999999993</v>
      </c>
      <c r="P25" s="4">
        <f>ABS(O25-B25)</f>
        <v>0.63999999999999346</v>
      </c>
      <c r="R25">
        <f>M25*(1-N25)</f>
        <v>101.3099415204679</v>
      </c>
    </row>
    <row r="26" spans="2:18" x14ac:dyDescent="0.3">
      <c r="L26" s="3"/>
      <c r="M26" s="3"/>
      <c r="N26" s="3"/>
    </row>
    <row r="27" spans="2:18" x14ac:dyDescent="0.3">
      <c r="L27" s="3"/>
      <c r="M27" s="3"/>
      <c r="N27" s="3"/>
    </row>
    <row r="28" spans="2:18" x14ac:dyDescent="0.3">
      <c r="B28" t="s">
        <v>18</v>
      </c>
      <c r="C28" s="1"/>
      <c r="D28" s="1"/>
      <c r="E28" s="1"/>
      <c r="F28" s="1"/>
      <c r="G28" s="1"/>
      <c r="H28" s="1"/>
      <c r="I28" s="1"/>
      <c r="J28" s="1"/>
      <c r="K28" s="1"/>
      <c r="L28" s="2"/>
      <c r="M28" s="2"/>
      <c r="N28" s="2"/>
      <c r="O28" s="1"/>
      <c r="P28" s="1"/>
    </row>
    <row r="29" spans="2:18" x14ac:dyDescent="0.3">
      <c r="B29" s="4" t="s">
        <v>0</v>
      </c>
      <c r="C29" s="4" t="s">
        <v>1</v>
      </c>
      <c r="D29" s="4" t="s">
        <v>4</v>
      </c>
      <c r="E29" s="4" t="s">
        <v>14</v>
      </c>
      <c r="F29" s="4" t="s">
        <v>15</v>
      </c>
      <c r="G29" s="4"/>
      <c r="H29" s="4" t="s">
        <v>9</v>
      </c>
      <c r="I29" s="4" t="s">
        <v>13</v>
      </c>
      <c r="J29" s="4" t="s">
        <v>5</v>
      </c>
      <c r="K29" s="4" t="s">
        <v>6</v>
      </c>
      <c r="L29" s="5" t="s">
        <v>8</v>
      </c>
      <c r="M29" s="5" t="s">
        <v>7</v>
      </c>
      <c r="N29" s="5" t="s">
        <v>16</v>
      </c>
      <c r="O29" s="4" t="s">
        <v>11</v>
      </c>
      <c r="P29" s="4" t="s">
        <v>12</v>
      </c>
    </row>
    <row r="30" spans="2:18" x14ac:dyDescent="0.3">
      <c r="B30" s="4">
        <v>1</v>
      </c>
      <c r="C30" s="4">
        <v>0.182</v>
      </c>
      <c r="D30" s="4">
        <v>23.9</v>
      </c>
      <c r="E30" s="4">
        <v>0.82</v>
      </c>
      <c r="F30" s="4">
        <v>2.2999999999999998</v>
      </c>
      <c r="G30" s="4"/>
      <c r="H30" s="4">
        <f>F30/1000</f>
        <v>2.3E-3</v>
      </c>
      <c r="I30" s="4">
        <f>E30/1000</f>
        <v>8.1999999999999998E-4</v>
      </c>
      <c r="J30" s="5">
        <f>C30/B30</f>
        <v>0.182</v>
      </c>
      <c r="K30" s="4">
        <f>B30*C30</f>
        <v>0.182</v>
      </c>
      <c r="L30" s="5">
        <f>I30/$C$5</f>
        <v>0.23976608187134504</v>
      </c>
      <c r="M30" s="5">
        <f>D30*L30</f>
        <v>5.7304093567251462</v>
      </c>
      <c r="N30" s="5">
        <f>K30/M30</f>
        <v>3.1760383712623734E-2</v>
      </c>
      <c r="O30" s="4">
        <f>H30/$C$4</f>
        <v>0.91999999999999993</v>
      </c>
      <c r="P30" s="4">
        <f>ABS(O30-B30)</f>
        <v>8.0000000000000071E-2</v>
      </c>
      <c r="R30">
        <f>M30*(1-N30)</f>
        <v>5.5484093567251467</v>
      </c>
    </row>
    <row r="31" spans="2:18" x14ac:dyDescent="0.3">
      <c r="B31" s="4">
        <v>2</v>
      </c>
      <c r="C31" s="4">
        <v>0.39</v>
      </c>
      <c r="D31" s="4">
        <v>23.9</v>
      </c>
      <c r="E31" s="4">
        <v>1</v>
      </c>
      <c r="F31" s="4">
        <v>5.0999999999999996</v>
      </c>
      <c r="G31" s="4"/>
      <c r="H31" s="4">
        <f t="shared" ref="H31:H45" si="6">F31/1000</f>
        <v>5.0999999999999995E-3</v>
      </c>
      <c r="I31" s="4">
        <f t="shared" ref="I31:I45" si="7">E31/1000</f>
        <v>1E-3</v>
      </c>
      <c r="J31" s="5">
        <f>C31/B31</f>
        <v>0.19500000000000001</v>
      </c>
      <c r="K31" s="4">
        <f>B31*C31</f>
        <v>0.78</v>
      </c>
      <c r="L31" s="5">
        <f t="shared" ref="L31:L45" si="8">I31/$C$5</f>
        <v>0.29239766081871349</v>
      </c>
      <c r="M31" s="5">
        <f>D31*L31</f>
        <v>6.988304093567252</v>
      </c>
      <c r="N31" s="5">
        <f t="shared" ref="N31:N45" si="9">K31/M31</f>
        <v>0.11161506276150628</v>
      </c>
      <c r="O31" s="4">
        <f t="shared" ref="O31:O45" si="10">H31/$C$4</f>
        <v>2.0399999999999996</v>
      </c>
      <c r="P31" s="4">
        <f>ABS(O31-B31)</f>
        <v>3.9999999999999591E-2</v>
      </c>
      <c r="R31">
        <f t="shared" ref="R31:R45" si="11">M31*(1-N31)</f>
        <v>6.2083040935672527</v>
      </c>
    </row>
    <row r="32" spans="2:18" x14ac:dyDescent="0.3">
      <c r="B32" s="4">
        <v>4</v>
      </c>
      <c r="C32" s="4">
        <v>0.76500000000000001</v>
      </c>
      <c r="D32" s="4">
        <v>23.9</v>
      </c>
      <c r="E32" s="4">
        <v>1.55</v>
      </c>
      <c r="F32" s="4">
        <v>10.3</v>
      </c>
      <c r="G32" s="4"/>
      <c r="H32" s="4">
        <f t="shared" si="6"/>
        <v>1.03E-2</v>
      </c>
      <c r="I32" s="4">
        <f t="shared" si="7"/>
        <v>1.5499999999999999E-3</v>
      </c>
      <c r="J32" s="5">
        <f>C32/B32</f>
        <v>0.19125</v>
      </c>
      <c r="K32" s="4">
        <f>B32*C32</f>
        <v>3.06</v>
      </c>
      <c r="L32" s="5">
        <f t="shared" si="8"/>
        <v>0.45321637426900585</v>
      </c>
      <c r="M32" s="5">
        <f>D32*L32</f>
        <v>10.831871345029239</v>
      </c>
      <c r="N32" s="5">
        <f t="shared" si="9"/>
        <v>0.28249966257254694</v>
      </c>
      <c r="O32" s="4">
        <f t="shared" si="10"/>
        <v>4.12</v>
      </c>
      <c r="P32" s="4">
        <f>ABS(O32-B32)</f>
        <v>0.12000000000000011</v>
      </c>
      <c r="R32">
        <f t="shared" si="11"/>
        <v>7.7718713450292389</v>
      </c>
    </row>
    <row r="33" spans="2:18" x14ac:dyDescent="0.3">
      <c r="B33" s="4">
        <v>6</v>
      </c>
      <c r="C33" s="4">
        <v>1.1200000000000001</v>
      </c>
      <c r="D33" s="4">
        <v>23.9</v>
      </c>
      <c r="E33" s="4">
        <v>2.37</v>
      </c>
      <c r="F33" s="4">
        <v>15.5</v>
      </c>
      <c r="G33" s="4"/>
      <c r="H33" s="4">
        <f t="shared" si="6"/>
        <v>1.55E-2</v>
      </c>
      <c r="I33" s="4">
        <f t="shared" si="7"/>
        <v>2.3700000000000001E-3</v>
      </c>
      <c r="J33" s="5">
        <f>C33/B33</f>
        <v>0.18666666666666668</v>
      </c>
      <c r="K33" s="4">
        <f>B33*C33</f>
        <v>6.7200000000000006</v>
      </c>
      <c r="L33" s="5">
        <f t="shared" si="8"/>
        <v>0.69298245614035092</v>
      </c>
      <c r="M33" s="5">
        <f>D33*L33</f>
        <v>16.562280701754386</v>
      </c>
      <c r="N33" s="5">
        <f t="shared" si="9"/>
        <v>0.40574122133361584</v>
      </c>
      <c r="O33" s="4">
        <f t="shared" si="10"/>
        <v>6.2</v>
      </c>
      <c r="P33" s="4">
        <f>ABS(O33-B33)</f>
        <v>0.20000000000000018</v>
      </c>
      <c r="R33">
        <f t="shared" si="11"/>
        <v>9.8422807017543867</v>
      </c>
    </row>
    <row r="34" spans="2:18" x14ac:dyDescent="0.3">
      <c r="B34" s="4">
        <v>8</v>
      </c>
      <c r="C34" s="4">
        <v>1.4650000000000001</v>
      </c>
      <c r="D34" s="4">
        <v>23.9</v>
      </c>
      <c r="E34" s="4">
        <v>3.48</v>
      </c>
      <c r="F34" s="4">
        <v>20.7</v>
      </c>
      <c r="G34" s="4"/>
      <c r="H34" s="4">
        <f t="shared" si="6"/>
        <v>2.07E-2</v>
      </c>
      <c r="I34" s="4">
        <f t="shared" si="7"/>
        <v>3.48E-3</v>
      </c>
      <c r="J34" s="5">
        <f>C34/B34</f>
        <v>0.18312500000000001</v>
      </c>
      <c r="K34" s="4">
        <f>B34*C34</f>
        <v>11.72</v>
      </c>
      <c r="L34" s="5">
        <f t="shared" si="8"/>
        <v>1.0175438596491229</v>
      </c>
      <c r="M34" s="5">
        <f>D34*L34</f>
        <v>24.319298245614036</v>
      </c>
      <c r="N34" s="5">
        <f t="shared" si="9"/>
        <v>0.48192180060597317</v>
      </c>
      <c r="O34" s="4">
        <f t="shared" si="10"/>
        <v>8.2799999999999994</v>
      </c>
      <c r="P34" s="4">
        <f>ABS(O34-B34)</f>
        <v>0.27999999999999936</v>
      </c>
      <c r="R34">
        <f t="shared" si="11"/>
        <v>12.599298245614037</v>
      </c>
    </row>
    <row r="35" spans="2:18" x14ac:dyDescent="0.3">
      <c r="B35" s="4">
        <v>10</v>
      </c>
      <c r="C35" s="4">
        <v>1.8149999999999999</v>
      </c>
      <c r="D35" s="4">
        <v>23.9</v>
      </c>
      <c r="E35" s="4">
        <v>4.83</v>
      </c>
      <c r="F35" s="4">
        <v>25.8</v>
      </c>
      <c r="G35" s="4"/>
      <c r="H35" s="4">
        <f t="shared" si="6"/>
        <v>2.58E-2</v>
      </c>
      <c r="I35" s="4">
        <f t="shared" si="7"/>
        <v>4.8300000000000001E-3</v>
      </c>
      <c r="J35" s="5">
        <f>C35/B35</f>
        <v>0.18149999999999999</v>
      </c>
      <c r="K35" s="4">
        <f>B35*C35</f>
        <v>18.149999999999999</v>
      </c>
      <c r="L35" s="5">
        <f t="shared" si="8"/>
        <v>1.4122807017543861</v>
      </c>
      <c r="M35" s="5">
        <f>D35*L35</f>
        <v>33.753508771929823</v>
      </c>
      <c r="N35" s="5">
        <f t="shared" si="9"/>
        <v>0.5377218742690818</v>
      </c>
      <c r="O35" s="4">
        <f t="shared" si="10"/>
        <v>10.32</v>
      </c>
      <c r="P35" s="4">
        <f>ABS(O35-B35)</f>
        <v>0.32000000000000028</v>
      </c>
      <c r="R35">
        <f t="shared" si="11"/>
        <v>15.603508771929825</v>
      </c>
    </row>
    <row r="36" spans="2:18" x14ac:dyDescent="0.3">
      <c r="B36" s="4">
        <v>12</v>
      </c>
      <c r="C36" s="4">
        <v>2.0699999999999998</v>
      </c>
      <c r="D36" s="4">
        <v>23.9</v>
      </c>
      <c r="E36" s="4">
        <v>6.48</v>
      </c>
      <c r="F36" s="4">
        <v>31</v>
      </c>
      <c r="G36" s="4"/>
      <c r="H36" s="4">
        <f t="shared" si="6"/>
        <v>3.1E-2</v>
      </c>
      <c r="I36" s="4">
        <f t="shared" si="7"/>
        <v>6.4800000000000005E-3</v>
      </c>
      <c r="J36" s="5">
        <f>C36/B36</f>
        <v>0.17249999999999999</v>
      </c>
      <c r="K36" s="4">
        <f>B36*C36</f>
        <v>24.839999999999996</v>
      </c>
      <c r="L36" s="5">
        <f t="shared" si="8"/>
        <v>1.8947368421052633</v>
      </c>
      <c r="M36" s="5">
        <f>D36*L36</f>
        <v>45.284210526315789</v>
      </c>
      <c r="N36" s="5">
        <f t="shared" si="9"/>
        <v>0.54853556485355637</v>
      </c>
      <c r="O36" s="4">
        <f t="shared" si="10"/>
        <v>12.4</v>
      </c>
      <c r="P36" s="4">
        <f>ABS(O36-B36)</f>
        <v>0.40000000000000036</v>
      </c>
      <c r="R36">
        <f t="shared" si="11"/>
        <v>20.444210526315796</v>
      </c>
    </row>
    <row r="37" spans="2:18" x14ac:dyDescent="0.3">
      <c r="B37" s="4">
        <v>14</v>
      </c>
      <c r="C37" s="4">
        <v>2.37</v>
      </c>
      <c r="D37" s="4">
        <v>23.9</v>
      </c>
      <c r="E37" s="4">
        <v>8.43</v>
      </c>
      <c r="F37" s="4">
        <v>36</v>
      </c>
      <c r="G37" s="4"/>
      <c r="H37" s="4">
        <f t="shared" si="6"/>
        <v>3.5999999999999997E-2</v>
      </c>
      <c r="I37" s="4">
        <f t="shared" si="7"/>
        <v>8.43E-3</v>
      </c>
      <c r="J37" s="5">
        <f>C37/B37</f>
        <v>0.16928571428571429</v>
      </c>
      <c r="K37" s="4">
        <f>B37*C37</f>
        <v>33.18</v>
      </c>
      <c r="L37" s="5">
        <f t="shared" si="8"/>
        <v>2.4649122807017543</v>
      </c>
      <c r="M37" s="5">
        <f>D37*L37</f>
        <v>58.911403508771926</v>
      </c>
      <c r="N37" s="5">
        <f t="shared" si="9"/>
        <v>0.5632186304143898</v>
      </c>
      <c r="O37" s="4">
        <f t="shared" si="10"/>
        <v>14.399999999999999</v>
      </c>
      <c r="P37" s="4">
        <f>ABS(O37-B37)</f>
        <v>0.39999999999999858</v>
      </c>
      <c r="R37">
        <f t="shared" si="11"/>
        <v>25.731403508771923</v>
      </c>
    </row>
    <row r="38" spans="2:18" x14ac:dyDescent="0.3">
      <c r="B38" s="4">
        <v>16</v>
      </c>
      <c r="C38" s="4">
        <v>2.69</v>
      </c>
      <c r="D38" s="4">
        <v>23.9</v>
      </c>
      <c r="E38" s="4">
        <v>10.65</v>
      </c>
      <c r="F38" s="4">
        <v>40.9</v>
      </c>
      <c r="G38" s="4"/>
      <c r="H38" s="4">
        <f t="shared" si="6"/>
        <v>4.0899999999999999E-2</v>
      </c>
      <c r="I38" s="4">
        <f t="shared" si="7"/>
        <v>1.065E-2</v>
      </c>
      <c r="J38" s="5">
        <f>C38/B38</f>
        <v>0.168125</v>
      </c>
      <c r="K38" s="4">
        <f>B38*C38</f>
        <v>43.04</v>
      </c>
      <c r="L38" s="5">
        <f t="shared" si="8"/>
        <v>3.1140350877192984</v>
      </c>
      <c r="M38" s="5">
        <f>D38*L38</f>
        <v>74.425438596491233</v>
      </c>
      <c r="N38" s="5">
        <f t="shared" si="9"/>
        <v>0.57829689433673159</v>
      </c>
      <c r="O38" s="4">
        <f t="shared" si="10"/>
        <v>16.36</v>
      </c>
      <c r="P38" s="4">
        <f>ABS(O38-B38)</f>
        <v>0.35999999999999943</v>
      </c>
      <c r="R38">
        <f t="shared" si="11"/>
        <v>31.385438596491237</v>
      </c>
    </row>
    <row r="39" spans="2:18" x14ac:dyDescent="0.3">
      <c r="B39" s="4">
        <v>18</v>
      </c>
      <c r="C39" s="4">
        <v>3</v>
      </c>
      <c r="D39" s="4">
        <v>23.9</v>
      </c>
      <c r="E39" s="4">
        <v>13.11</v>
      </c>
      <c r="F39" s="4">
        <v>45.8</v>
      </c>
      <c r="G39" s="4"/>
      <c r="H39" s="4">
        <f t="shared" si="6"/>
        <v>4.58E-2</v>
      </c>
      <c r="I39" s="4">
        <f t="shared" si="7"/>
        <v>1.311E-2</v>
      </c>
      <c r="J39" s="5">
        <f>C39/B39</f>
        <v>0.16666666666666666</v>
      </c>
      <c r="K39" s="4">
        <f>B39*C39</f>
        <v>54</v>
      </c>
      <c r="L39" s="5">
        <f t="shared" si="8"/>
        <v>3.8333333333333335</v>
      </c>
      <c r="M39" s="5">
        <f>D39*L39</f>
        <v>91.61666666666666</v>
      </c>
      <c r="N39" s="5">
        <f t="shared" si="9"/>
        <v>0.58941240676732765</v>
      </c>
      <c r="O39" s="4">
        <f t="shared" si="10"/>
        <v>18.32</v>
      </c>
      <c r="P39" s="4">
        <f>ABS(O39-B39)</f>
        <v>0.32000000000000028</v>
      </c>
      <c r="R39">
        <f t="shared" si="11"/>
        <v>37.61666666666666</v>
      </c>
    </row>
    <row r="40" spans="2:18" x14ac:dyDescent="0.3">
      <c r="B40" s="4">
        <v>20</v>
      </c>
      <c r="C40" s="4">
        <v>3.3</v>
      </c>
      <c r="D40" s="4">
        <v>23.9</v>
      </c>
      <c r="E40" s="4">
        <v>15.98</v>
      </c>
      <c r="F40" s="4">
        <v>50.7</v>
      </c>
      <c r="G40" s="4"/>
      <c r="H40" s="4">
        <f t="shared" si="6"/>
        <v>5.0700000000000002E-2</v>
      </c>
      <c r="I40" s="4">
        <f t="shared" si="7"/>
        <v>1.5980000000000001E-2</v>
      </c>
      <c r="J40" s="5">
        <f>C40/B40</f>
        <v>0.16499999999999998</v>
      </c>
      <c r="K40" s="4">
        <f>B40*C40</f>
        <v>66</v>
      </c>
      <c r="L40" s="5">
        <f t="shared" si="8"/>
        <v>4.6725146198830414</v>
      </c>
      <c r="M40" s="5">
        <f>D40*L40</f>
        <v>111.67309941520469</v>
      </c>
      <c r="N40" s="5">
        <f t="shared" si="9"/>
        <v>0.59101072993962112</v>
      </c>
      <c r="O40" s="4">
        <f t="shared" si="10"/>
        <v>20.28</v>
      </c>
      <c r="P40" s="4">
        <f>ABS(O40-B40)</f>
        <v>0.28000000000000114</v>
      </c>
      <c r="R40">
        <f t="shared" si="11"/>
        <v>45.673099415204689</v>
      </c>
    </row>
    <row r="41" spans="2:18" x14ac:dyDescent="0.3">
      <c r="B41" s="4">
        <v>22</v>
      </c>
      <c r="C41" s="4"/>
      <c r="D41" s="4"/>
      <c r="E41" s="4"/>
      <c r="F41" s="4"/>
      <c r="G41" s="4"/>
      <c r="H41" s="4">
        <f t="shared" si="6"/>
        <v>0</v>
      </c>
      <c r="I41" s="4">
        <f t="shared" si="7"/>
        <v>0</v>
      </c>
      <c r="J41" s="5">
        <f>C41/B41</f>
        <v>0</v>
      </c>
      <c r="K41" s="4">
        <f>B41*C41</f>
        <v>0</v>
      </c>
      <c r="L41" s="5">
        <f t="shared" si="8"/>
        <v>0</v>
      </c>
      <c r="M41" s="5">
        <f>D41*L41</f>
        <v>0</v>
      </c>
      <c r="N41" s="5" t="e">
        <f t="shared" si="9"/>
        <v>#DIV/0!</v>
      </c>
      <c r="O41" s="4">
        <f t="shared" si="10"/>
        <v>0</v>
      </c>
      <c r="P41" s="4">
        <f>ABS(O41-B41)</f>
        <v>22</v>
      </c>
      <c r="R41" t="e">
        <f t="shared" si="11"/>
        <v>#DIV/0!</v>
      </c>
    </row>
    <row r="42" spans="2:18" x14ac:dyDescent="0.3">
      <c r="B42" s="4">
        <v>24</v>
      </c>
      <c r="C42" s="4">
        <v>4.0999999999999996</v>
      </c>
      <c r="D42" s="4">
        <v>23.9</v>
      </c>
      <c r="E42" s="4">
        <v>22.59</v>
      </c>
      <c r="F42" s="4">
        <v>60.2</v>
      </c>
      <c r="G42" s="4"/>
      <c r="H42" s="4">
        <f t="shared" si="6"/>
        <v>6.0200000000000004E-2</v>
      </c>
      <c r="I42" s="4">
        <f t="shared" si="7"/>
        <v>2.2589999999999999E-2</v>
      </c>
      <c r="J42" s="5">
        <f>C42/B42</f>
        <v>0.17083333333333331</v>
      </c>
      <c r="K42" s="4">
        <f>B42*C42</f>
        <v>98.399999999999991</v>
      </c>
      <c r="L42" s="5">
        <f t="shared" si="8"/>
        <v>6.6052631578947372</v>
      </c>
      <c r="M42" s="5">
        <f>D42*L42</f>
        <v>157.8657894736842</v>
      </c>
      <c r="N42" s="5">
        <f t="shared" si="9"/>
        <v>0.62331427428361863</v>
      </c>
      <c r="O42" s="4">
        <f t="shared" si="10"/>
        <v>24.080000000000002</v>
      </c>
      <c r="P42" s="4">
        <f>ABS(O42-B42)</f>
        <v>8.0000000000001847E-2</v>
      </c>
      <c r="R42">
        <f t="shared" si="11"/>
        <v>59.465789473684211</v>
      </c>
    </row>
    <row r="43" spans="2:18" x14ac:dyDescent="0.3">
      <c r="B43" s="4">
        <v>26</v>
      </c>
      <c r="C43" s="4"/>
      <c r="D43" s="4"/>
      <c r="E43" s="4"/>
      <c r="F43" s="4"/>
      <c r="G43" s="4"/>
      <c r="H43" s="4">
        <f t="shared" si="6"/>
        <v>0</v>
      </c>
      <c r="I43" s="4">
        <f t="shared" si="7"/>
        <v>0</v>
      </c>
      <c r="J43" s="5">
        <f>C43/B43</f>
        <v>0</v>
      </c>
      <c r="K43" s="4">
        <f>B43*C43</f>
        <v>0</v>
      </c>
      <c r="L43" s="5">
        <f t="shared" si="8"/>
        <v>0</v>
      </c>
      <c r="M43" s="5">
        <f>D43*L43</f>
        <v>0</v>
      </c>
      <c r="N43" s="5" t="e">
        <f t="shared" si="9"/>
        <v>#DIV/0!</v>
      </c>
      <c r="O43" s="4">
        <f t="shared" si="10"/>
        <v>0</v>
      </c>
      <c r="P43" s="4">
        <f>ABS(O43-B43)</f>
        <v>26</v>
      </c>
      <c r="R43" t="e">
        <f t="shared" si="11"/>
        <v>#DIV/0!</v>
      </c>
    </row>
    <row r="44" spans="2:18" x14ac:dyDescent="0.3">
      <c r="B44" s="4">
        <v>28</v>
      </c>
      <c r="C44" s="4">
        <v>5</v>
      </c>
      <c r="D44" s="4">
        <v>23.9</v>
      </c>
      <c r="E44" s="4">
        <v>31.07</v>
      </c>
      <c r="F44" s="4">
        <v>70.3</v>
      </c>
      <c r="G44" s="4"/>
      <c r="H44" s="4">
        <f t="shared" si="6"/>
        <v>7.0300000000000001E-2</v>
      </c>
      <c r="I44" s="4">
        <f t="shared" si="7"/>
        <v>3.107E-2</v>
      </c>
      <c r="J44" s="5">
        <f>C44/B44</f>
        <v>0.17857142857142858</v>
      </c>
      <c r="K44" s="4">
        <f>B44*C44</f>
        <v>140</v>
      </c>
      <c r="L44" s="5">
        <f t="shared" si="8"/>
        <v>9.0847953216374275</v>
      </c>
      <c r="M44" s="5">
        <f>D44*L44</f>
        <v>217.12660818713451</v>
      </c>
      <c r="N44" s="5">
        <f t="shared" si="9"/>
        <v>0.64478509183608879</v>
      </c>
      <c r="O44" s="4">
        <f t="shared" si="10"/>
        <v>28.12</v>
      </c>
      <c r="P44" s="4">
        <f>ABS(O44-B44)</f>
        <v>0.12000000000000099</v>
      </c>
      <c r="R44">
        <f t="shared" si="11"/>
        <v>77.126608187134522</v>
      </c>
    </row>
    <row r="45" spans="2:18" x14ac:dyDescent="0.3">
      <c r="B45" s="4">
        <v>30</v>
      </c>
      <c r="C45" s="4">
        <v>5.5</v>
      </c>
      <c r="D45" s="4">
        <v>23.9</v>
      </c>
      <c r="E45" s="4">
        <v>36.159999999999997</v>
      </c>
      <c r="F45" s="4">
        <v>75.400000000000006</v>
      </c>
      <c r="G45" s="4"/>
      <c r="H45" s="4">
        <f t="shared" si="6"/>
        <v>7.5400000000000009E-2</v>
      </c>
      <c r="I45" s="4">
        <f t="shared" si="7"/>
        <v>3.6159999999999998E-2</v>
      </c>
      <c r="J45" s="5">
        <f>C45/B45</f>
        <v>0.18333333333333332</v>
      </c>
      <c r="K45" s="4">
        <f>B45*C45</f>
        <v>165</v>
      </c>
      <c r="L45" s="5">
        <f t="shared" si="8"/>
        <v>10.573099415204679</v>
      </c>
      <c r="M45" s="5">
        <f>D45*L45</f>
        <v>252.69707602339182</v>
      </c>
      <c r="N45" s="5">
        <f t="shared" si="9"/>
        <v>0.65295571518495199</v>
      </c>
      <c r="O45" s="4">
        <f t="shared" si="10"/>
        <v>30.160000000000004</v>
      </c>
      <c r="P45" s="4">
        <f>ABS(O45-B45)</f>
        <v>0.16000000000000369</v>
      </c>
      <c r="R45">
        <f t="shared" si="11"/>
        <v>87.69707602339183</v>
      </c>
    </row>
  </sheetData>
  <pageMargins left="0.25" right="0.25" top="0.75" bottom="0.75" header="0.3" footer="0.3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borghi</dc:creator>
  <cp:lastModifiedBy>Valerio Borghi - valerio.borghi2@studio.unibo.it</cp:lastModifiedBy>
  <cp:lastPrinted>2024-07-29T12:23:59Z</cp:lastPrinted>
  <dcterms:created xsi:type="dcterms:W3CDTF">2015-06-05T18:17:20Z</dcterms:created>
  <dcterms:modified xsi:type="dcterms:W3CDTF">2024-07-29T23:14:14Z</dcterms:modified>
</cp:coreProperties>
</file>
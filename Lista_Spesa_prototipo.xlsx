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valer\Desktop\EBmetro\"/>
    </mc:Choice>
  </mc:AlternateContent>
  <xr:revisionPtr revIDLastSave="0" documentId="13_ncr:1_{AC291415-D16E-4734-A488-C5C5AEA4E0D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6" i="1" l="1"/>
  <c r="K131" i="1"/>
  <c r="K132" i="1"/>
  <c r="K14" i="1"/>
  <c r="K130" i="1"/>
  <c r="K13" i="1"/>
  <c r="K70" i="1"/>
  <c r="G49" i="1"/>
  <c r="K49" i="1" s="1"/>
  <c r="K48" i="1"/>
  <c r="G46" i="1"/>
  <c r="K46" i="1" s="1"/>
  <c r="G32" i="1"/>
  <c r="K32" i="1" s="1"/>
  <c r="G99" i="1"/>
  <c r="K99" i="1" s="1"/>
  <c r="G98" i="1"/>
  <c r="K98" i="1" s="1"/>
  <c r="G79" i="1"/>
  <c r="K79" i="1" s="1"/>
  <c r="G78" i="1"/>
  <c r="G67" i="1"/>
  <c r="K67" i="1" s="1"/>
  <c r="G66" i="1"/>
  <c r="K66" i="1" s="1"/>
  <c r="G17" i="1"/>
  <c r="K17" i="1" s="1"/>
  <c r="G45" i="1"/>
  <c r="K45" i="1" s="1"/>
  <c r="G16" i="1"/>
  <c r="K16" i="1" s="1"/>
  <c r="K100" i="1"/>
  <c r="K47" i="1"/>
  <c r="K44" i="1"/>
  <c r="K43" i="1"/>
  <c r="G104" i="1"/>
  <c r="K104" i="1" s="1"/>
  <c r="G118" i="1"/>
  <c r="K118" i="1" s="1"/>
  <c r="K117" i="1"/>
  <c r="K116" i="1"/>
  <c r="K115" i="1"/>
  <c r="K114" i="1"/>
  <c r="K113" i="1"/>
  <c r="K112" i="1"/>
  <c r="K103" i="1"/>
  <c r="K102" i="1"/>
  <c r="K101" i="1"/>
  <c r="G83" i="1"/>
  <c r="K83" i="1" s="1"/>
  <c r="K96" i="1"/>
  <c r="K97" i="1"/>
  <c r="K95" i="1"/>
  <c r="K87" i="1"/>
  <c r="K85" i="1"/>
  <c r="G84" i="1"/>
  <c r="K84" i="1" s="1"/>
  <c r="K82" i="1"/>
  <c r="K81" i="1"/>
  <c r="K78" i="1"/>
  <c r="K80" i="1"/>
  <c r="K68" i="1"/>
  <c r="K69" i="1"/>
  <c r="K65" i="1"/>
  <c r="G64" i="1"/>
  <c r="K64" i="1" s="1"/>
  <c r="K63" i="1"/>
  <c r="K62" i="1"/>
  <c r="G33" i="1"/>
  <c r="K33" i="1" s="1"/>
  <c r="K34" i="1"/>
  <c r="K35" i="1"/>
  <c r="K31" i="1"/>
  <c r="K30" i="1"/>
  <c r="K28" i="1"/>
  <c r="G29" i="1"/>
  <c r="K29" i="1" s="1"/>
  <c r="G27" i="1"/>
  <c r="K27" i="1" s="1"/>
  <c r="G25" i="1"/>
  <c r="K25" i="1" s="1"/>
  <c r="G26" i="1"/>
  <c r="K26" i="1" s="1"/>
  <c r="G23" i="1"/>
  <c r="K23" i="1" s="1"/>
  <c r="K24" i="1"/>
  <c r="G22" i="1"/>
  <c r="K22" i="1" s="1"/>
  <c r="K21" i="1"/>
  <c r="K18" i="1"/>
  <c r="K19" i="1"/>
  <c r="K20" i="1"/>
  <c r="K15" i="1"/>
  <c r="K11" i="1"/>
  <c r="K12" i="1"/>
  <c r="K10" i="1"/>
  <c r="K71" i="1" l="1"/>
  <c r="K50" i="1"/>
  <c r="K120" i="1"/>
  <c r="K106" i="1"/>
  <c r="K89" i="1"/>
  <c r="K36" i="1"/>
  <c r="K123" i="1" l="1"/>
</calcChain>
</file>

<file path=xl/sharedStrings.xml><?xml version="1.0" encoding="utf-8"?>
<sst xmlns="http://schemas.openxmlformats.org/spreadsheetml/2006/main" count="297" uniqueCount="120">
  <si>
    <t>Lista della spesa</t>
  </si>
  <si>
    <t>Generatore</t>
  </si>
  <si>
    <t>SIGLA</t>
  </si>
  <si>
    <t>Prezzo</t>
  </si>
  <si>
    <t>Link Acquisto</t>
  </si>
  <si>
    <t>Link Datasheet</t>
  </si>
  <si>
    <t>Totale</t>
  </si>
  <si>
    <t>ap-d5830a</t>
  </si>
  <si>
    <t>Nome</t>
  </si>
  <si>
    <t>Quantità</t>
  </si>
  <si>
    <t>Aliexpress</t>
  </si>
  <si>
    <t>Datasheet</t>
  </si>
  <si>
    <t>RND 315-00017</t>
  </si>
  <si>
    <t>Alimentatore 24V 20A</t>
  </si>
  <si>
    <t>Case PC + 3 ventole</t>
  </si>
  <si>
    <t>Amazon</t>
  </si>
  <si>
    <t>CS</t>
  </si>
  <si>
    <t>Arduino Store</t>
  </si>
  <si>
    <t>Connettore Display GX12-5Pin Maschio</t>
  </si>
  <si>
    <t>GX12-5</t>
  </si>
  <si>
    <t>Sono indeciso tra 30A e 50A</t>
  </si>
  <si>
    <t>Note</t>
  </si>
  <si>
    <t>Da decidere</t>
  </si>
  <si>
    <t>Su Amazon costano la metà</t>
  </si>
  <si>
    <t>DC-DC Converter Principale</t>
  </si>
  <si>
    <t>LM2596</t>
  </si>
  <si>
    <t>Da decidere in base al case</t>
  </si>
  <si>
    <t>ADC1115</t>
  </si>
  <si>
    <t>LMC6484</t>
  </si>
  <si>
    <t>LMC6484 Quad OpAmp</t>
  </si>
  <si>
    <t xml:space="preserve">Sensore di Temperatura </t>
  </si>
  <si>
    <t>LM35D</t>
  </si>
  <si>
    <t>Componentistica varie</t>
  </si>
  <si>
    <t>Relè per attivare/disattivare il DCDC</t>
  </si>
  <si>
    <t>BC547 per Relè</t>
  </si>
  <si>
    <t>BC547</t>
  </si>
  <si>
    <t>SYS1</t>
  </si>
  <si>
    <t>Reference Voltage 2.5 V</t>
  </si>
  <si>
    <t>LM336Z-2.5</t>
  </si>
  <si>
    <t>Cavo unipolare 16mm^2</t>
  </si>
  <si>
    <t>Capicorda A3M6 per 16mm^2</t>
  </si>
  <si>
    <t>A3M6</t>
  </si>
  <si>
    <t>0,10 Ohm 100W 5%</t>
  </si>
  <si>
    <t>HSC100R10J</t>
  </si>
  <si>
    <t>HSC100R47J</t>
  </si>
  <si>
    <t>Era quello che costava meno</t>
  </si>
  <si>
    <t>Pasta Termica nano-grease 3g</t>
  </si>
  <si>
    <t>TOTALE</t>
  </si>
  <si>
    <t>Display</t>
  </si>
  <si>
    <t>Display LCD tft 4''</t>
  </si>
  <si>
    <t>Si può cambiare con qualcosa da meno</t>
  </si>
  <si>
    <t>Arduino MKR Zero</t>
  </si>
  <si>
    <t>KY040</t>
  </si>
  <si>
    <t>Modulo Encoder KY040</t>
  </si>
  <si>
    <t>Scheda PCB / Millefori 70*50</t>
  </si>
  <si>
    <t>Manico</t>
  </si>
  <si>
    <t>Cavo 5 poli Morbido</t>
  </si>
  <si>
    <t>Connettore Display GX12-5Pin Femmina</t>
  </si>
  <si>
    <t>Scheda PCB / Millefori 30*40</t>
  </si>
  <si>
    <t xml:space="preserve">Convertitore ADC 1115 </t>
  </si>
  <si>
    <t>AD623ANZ</t>
  </si>
  <si>
    <t>Amplif da Banco AD623ANZ</t>
  </si>
  <si>
    <t>Al posto di questo un adc che fa tutto ma costa 20</t>
  </si>
  <si>
    <t>Teste di racambio del Manico</t>
  </si>
  <si>
    <t>Non so quanto possano costare</t>
  </si>
  <si>
    <t>Connettori in plastica per connesioni interne</t>
  </si>
  <si>
    <t>Ebmetro</t>
  </si>
  <si>
    <t>Connettore manico GX12-5Pin Maschio</t>
  </si>
  <si>
    <t>Connettore manico GX12-5Pin Femmina</t>
  </si>
  <si>
    <t>Arduino Nano</t>
  </si>
  <si>
    <t>Su Amazon costa meno</t>
  </si>
  <si>
    <t>Batterie al litio</t>
  </si>
  <si>
    <t>Per creare lo zero</t>
  </si>
  <si>
    <t>Circuito di ricarica</t>
  </si>
  <si>
    <t>Componentistica di Enzo</t>
  </si>
  <si>
    <t>Misuratore di Carche</t>
  </si>
  <si>
    <t>Totale di tutto</t>
  </si>
  <si>
    <t>Display tft 1,8'' con driver ST3735</t>
  </si>
  <si>
    <t>Wire</t>
  </si>
  <si>
    <t>Tubo in ferro filettato</t>
  </si>
  <si>
    <t>Curve in ferro</t>
  </si>
  <si>
    <t>Struttura</t>
  </si>
  <si>
    <t>Distrelect</t>
  </si>
  <si>
    <t>Prezzo I.I.</t>
  </si>
  <si>
    <t>Pin per Connettore alta Potenza SA50</t>
  </si>
  <si>
    <t>SA50 PIN AWG6</t>
  </si>
  <si>
    <t>SA50</t>
  </si>
  <si>
    <t>Connettore alta Potenza SA50</t>
  </si>
  <si>
    <t>Connettore alta Potenza SA50 Pannello</t>
  </si>
  <si>
    <t>SA50 Pannello</t>
  </si>
  <si>
    <t>Ki 8 +8</t>
  </si>
  <si>
    <t>Ebay</t>
  </si>
  <si>
    <t>Resistenza shunt 40A 75mA</t>
  </si>
  <si>
    <t>FL-2C 40A</t>
  </si>
  <si>
    <t>Dissipatore 250*70*28</t>
  </si>
  <si>
    <t xml:space="preserve">0,5 Ohm 100W 5% </t>
  </si>
  <si>
    <t>Tecnomat</t>
  </si>
  <si>
    <t>Gancio SA50</t>
  </si>
  <si>
    <t>SA50 Gancio</t>
  </si>
  <si>
    <t>DA RIVEDERE</t>
  </si>
  <si>
    <t>Manopola 22 più tappo blu</t>
  </si>
  <si>
    <t>Discutibili</t>
  </si>
  <si>
    <t>Da Acquistare</t>
  </si>
  <si>
    <t>Si =</t>
  </si>
  <si>
    <t>No =</t>
  </si>
  <si>
    <t>In Lab =</t>
  </si>
  <si>
    <t>Ventole per pc</t>
  </si>
  <si>
    <t>DC-DC Alimentazioni secondarie</t>
  </si>
  <si>
    <t>Roba da comprare =</t>
  </si>
  <si>
    <t>Roba da compare al tecnomat =</t>
  </si>
  <si>
    <t>COMPONENTI DA PROVARE</t>
  </si>
  <si>
    <t>Samd 21 Qt Py</t>
  </si>
  <si>
    <t>Samd21</t>
  </si>
  <si>
    <t>ATTiny85</t>
  </si>
  <si>
    <t>Attiny85 module</t>
  </si>
  <si>
    <t>MCP4725</t>
  </si>
  <si>
    <t>Adattatori</t>
  </si>
  <si>
    <t>RP2040</t>
  </si>
  <si>
    <t>Arduino nano</t>
  </si>
  <si>
    <t>Ci mettiamo un nano per 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</si>
</sst>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rgb="FF0C0C0C"/>
      <name val="Open Sans"/>
    </font>
    <font>
      <u/>
      <sz val="11"/>
      <color theme="10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4" borderId="0" xfId="0" applyFill="1"/>
    <xf numFmtId="0" fontId="0" fillId="4" borderId="1" xfId="0" applyFill="1" applyBorder="1"/>
    <xf numFmtId="0" fontId="0" fillId="5" borderId="1" xfId="0" applyFill="1" applyBorder="1"/>
    <xf numFmtId="0" fontId="4" fillId="2" borderId="1" xfId="0" applyFont="1" applyFill="1" applyBorder="1"/>
    <xf numFmtId="0" fontId="0" fillId="5" borderId="0" xfId="0" applyFill="1"/>
    <xf numFmtId="0" fontId="5" fillId="4" borderId="1" xfId="0" applyFont="1" applyFill="1" applyBorder="1"/>
    <xf numFmtId="0" fontId="0" fillId="6" borderId="0" xfId="0" applyFill="1"/>
    <xf numFmtId="0" fontId="6" fillId="0" borderId="0" xfId="0" applyFont="1"/>
    <xf numFmtId="0" fontId="7" fillId="6" borderId="0" xfId="0" applyFont="1" applyFill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renhotecpro2.b-cdn.net/wp-content/uploads/2022/01/GX-Series-Aviation-Connectors-Presentation-1.pdf" TargetMode="External"/><Relationship Id="rId21" Type="http://schemas.openxmlformats.org/officeDocument/2006/relationships/hyperlink" Target="https://store.arduino.cc/collections/boards-modules/products/arduino-mkr-zero-i2s-bus-sd-for-sound-music-digital-audio-data?_pos=3&amp;_fid=7a1629574&amp;_ss=c" TargetMode="External"/><Relationship Id="rId42" Type="http://schemas.openxmlformats.org/officeDocument/2006/relationships/hyperlink" Target="https://renhotecpro2.b-cdn.net/wp-content/uploads/2022/01/GX-Series-Aviation-Connectors-Presentation-1.pdf" TargetMode="External"/><Relationship Id="rId47" Type="http://schemas.openxmlformats.org/officeDocument/2006/relationships/hyperlink" Target="https://www.anen-connector.com/multipole-power-connectors-sa50sa502-2-product/" TargetMode="External"/><Relationship Id="rId63" Type="http://schemas.openxmlformats.org/officeDocument/2006/relationships/hyperlink" Target="https://www.tecnomat.it/it/raccordo-ghisa-90-gomito-ff3-8-10035679/" TargetMode="External"/><Relationship Id="rId68" Type="http://schemas.openxmlformats.org/officeDocument/2006/relationships/hyperlink" Target="https://www.amazon.it/Ventilatore-Silenzioso-Ottimizzata-Pressione-Confezione/dp/B07HC7P3HJ/ref=sr_1_7?__mk_it_IT=%C3%85M%C3%85%C5%BD%C3%95%C3%91&amp;crid=3DQLDGUVFU8JI&amp;dib=eyJ2IjoiMSJ9.mJAJjcxA1PICWuo5KNqOVMgFWJczCJe-XpjfIdrmp8mVEbM34y16K3gPo0z_8qf3WvBOQiMoDwBAiK10zgUgf1e_RNpphqdqaAUjp_nqIAK7qxRRqVDOB9DkcEPrIV_7vyXVJu0bbMchF5JwbCxMF4rKBIXhu2Md3zmrsEX3iIPlVegqXEPYzTzWj2zUG2o5LWcDGvrt65yXa-1O7NQgPXGK_I_c8Dqmc9DoP1_yGlPl-vq8vF95XLvhg11-bxg6bThAdoWO7iJJmfWIv2cBaLC_sEXPQrLT7LXy1XOXzog.vA93EHFVtJ-QtNRWMpBDWHE7ZQwV-yol09eE-Wpotvs&amp;dib_tag=se&amp;keywords=ventole+pc&amp;qid=1722522747&amp;s=pc&amp;sprefix=ventole+pc%2Ccomputers%2C172&amp;sr=1-7" TargetMode="External"/><Relationship Id="rId16" Type="http://schemas.openxmlformats.org/officeDocument/2006/relationships/hyperlink" Target="https://www.cselettronica.net/elettronica/attivi/integrati/integrati-a-z/integrati-lm/integrato-lm336z-2-5-nopb.1.1.312.gp.18601.uw" TargetMode="External"/><Relationship Id="rId11" Type="http://schemas.openxmlformats.org/officeDocument/2006/relationships/hyperlink" Target="http://www.ti.com/lit/ds/symlink/lm35.pdf" TargetMode="External"/><Relationship Id="rId24" Type="http://schemas.openxmlformats.org/officeDocument/2006/relationships/hyperlink" Target="https://renhotecpro2.b-cdn.net/wp-content/uploads/2022/01/GX-Series-Aviation-Connectors-Presentation-1.pdf" TargetMode="External"/><Relationship Id="rId32" Type="http://schemas.openxmlformats.org/officeDocument/2006/relationships/hyperlink" Target="https://store.arduino.cc/products/arduino-nano" TargetMode="External"/><Relationship Id="rId37" Type="http://schemas.openxmlformats.org/officeDocument/2006/relationships/hyperlink" Target="https://cdn-shop.adafruit.com/datasheets/ads1115.pdf" TargetMode="External"/><Relationship Id="rId40" Type="http://schemas.openxmlformats.org/officeDocument/2006/relationships/hyperlink" Target="https://www.amazon.it/AZDelivery-Convertitore-ADS1115-Raspberry-Gratuito/dp/B07QHWLTTS/ref=sr_1_6?__mk_it_IT=%C3%85M%C3%85%C5%BD%C3%95%C3%91&amp;crid=3SOWB1RN3G9JE&amp;dib=eyJ2IjoiMSJ9.CulhiQkaRvzPCZNFlpS3H1n-1x3vKwAmo1-OAo0_nAGInH2qnszQnC8xk0AqRPYuZGCjFtQTRG92-N1ITM-uW0UmbX2W1DiWc-0X7msxdh-WXc3FeRgMvCdKxfLyrQ-qpx57vkAG4hddJQNcHnEwMz-W6RrUdvCmjHop94OlUnuXIEq5WAGqqE93UI6Q2KzSAZACS5F6a-edUzP5lx2PmAbDd6wSqreTUQhXx0hKVqvD6ruxlYCtL1aSj9cRXRK6kDvDobaezKbr49pF_BbFOZBSXH6ByxUWDyP6pat5vXM.bykMYDBpJBHlVBA3fvUOyPN2CkhWA-cCldyGNHdFn74&amp;dib_tag=se&amp;keywords=adc&amp;qid=1722374876&amp;sprefix=adc+%2Caps%2C113&amp;sr=8-6" TargetMode="External"/><Relationship Id="rId45" Type="http://schemas.openxmlformats.org/officeDocument/2006/relationships/hyperlink" Target="https://www.anen-connector.com/multipole-power-connectors-sa50sa502-2-product/" TargetMode="External"/><Relationship Id="rId53" Type="http://schemas.openxmlformats.org/officeDocument/2006/relationships/hyperlink" Target="https://www.amazon.it/QitinDasen-Aviazione-Connettore-Protettore-Cacciavite/dp/B07Y9VL1CT/ref=sr_1_4?__mk_it_IT=%C3%85M%C3%85%C5%BD%C3%95%C3%91&amp;crid=16XCXE4W0M4UP&amp;dib=eyJ2IjoiMSJ9.uGLPpTEGeLFZaWScobNzmFsmEuooYrXloPiWnVhYsqOps3sPOd7IbOs7bbpQ0nDSCeOAoHlJwVdbqU66_zunawEMrpEmpxzjXRq9msGCOpTUj3f_NzboDe2TfQ8oyYzdNODMPSmWCPBQVRS9y3yRVn2AFWuzHuLZ9KeFuFiUMr4DAeVFYypPW4FaaxmmIShsCjHHiiPcaciX-Cdol4MmsQxDxd5UwhPgj7QEOoY1WCxrfMaP9y-lXv-z9mMm6OpF3VmJ6XHlStfHhCVdxAeZFzKeiQVnHAOLEiFrNd-MvWo.ouk1fJPhJYcCPWuWmUANtcGlkCIxUWaDwJUCbgTuCOE&amp;dib_tag=se&amp;keywords=gx12+5pin&amp;qid=1722457466&amp;sprefix=gx12+5pin%2Caps%2C121&amp;sr=8-4" TargetMode="External"/><Relationship Id="rId58" Type="http://schemas.openxmlformats.org/officeDocument/2006/relationships/hyperlink" Target="https://www.cselettronica.net/elettronica/attivi/accessori/dissipatori/diss-a-pettine/sk4975sa-dissipatore-250x28-l-75-nero.1.1.114.gp.25388.uw" TargetMode="External"/><Relationship Id="rId66" Type="http://schemas.openxmlformats.org/officeDocument/2006/relationships/hyperlink" Target="https://www.anen-connector.com/multipole-power-connectors-sa50sa502-2-product/" TargetMode="External"/><Relationship Id="rId74" Type="http://schemas.openxmlformats.org/officeDocument/2006/relationships/hyperlink" Target="https://ww1.microchip.com/downloads/en/devicedoc/22039d.pdf" TargetMode="External"/><Relationship Id="rId5" Type="http://schemas.openxmlformats.org/officeDocument/2006/relationships/hyperlink" Target="https://www.cselettronica.net/elettronica/connessione/conn-sa50-sb50-/pa1319-contatto-awg6-per-sa120.1.1.2444.gp.28132.uw" TargetMode="External"/><Relationship Id="rId61" Type="http://schemas.openxmlformats.org/officeDocument/2006/relationships/hyperlink" Target="https://www.amazon.it/PATIKIL-Alluminio-Involucro-Alloggiamento-Resistenza/dp/B0C6F3RVC3/ref=sr_1_6?__mk_it_IT=%C3%85M%C3%85%C5%BD%C3%95%C3%91&amp;crid=2PJHA9YWKD6YZ&amp;dib=eyJ2IjoiMSJ9.TkajXpT-ACjvSnWW4SAvLU7yqY0LetW0KFo1OiYzQtlOmTSK-Oy4cTtIy4Bmg-Rb6L6F3aG5EgMDpqUya_VsLi98BNcbHRWK5OYPepC6kO-TJD-bKxwRXXSbfbLYnkKS1h-cTKX7rL0flePxmlR5V2JjA4Q1VgvK8urpi7V4I40a4eVZ1sDo1URRzao-m21T-Pbnc5fC2lneS9eciWUE-zo5Oz2jevwza9-2SyR4R6xLNbWRwpVnMS3OhSMVCPLpxyu796ebkOtYDOpT0u87FwEy6rhIjWXtWz-m6qSmVgg.B_SXkMiFy4ooA4-hcPARIKM8WvYOG_edEA0qG9Iz4VU&amp;dib_tag=se&amp;keywords=resistenza+100W+0.1+ohm&amp;qid=1722462113&amp;sprefix=resistenza+100w+0.1+ohm%2Caps%2C110&amp;sr=8-6" TargetMode="External"/><Relationship Id="rId19" Type="http://schemas.openxmlformats.org/officeDocument/2006/relationships/hyperlink" Target="https://www.amazon.it/LAFVIN-4-0-inch-TFT-Compatible/dp/B0CQ87KN3Q/ref=sr_1_5?__mk_it_IT=%C3%85M%C3%85%C5%BD%C3%95%C3%91&amp;crid=2QYLG4644XQJE&amp;dib=eyJ2IjoiMSJ9.byTJukokGsDYm48XbT5B0lEHZVLXXYAIe0ea_isoE0cOVosNDvlnGSWNKismr2l8XHhuKcIaeDxWq1ztg7njlJXnBbaIjI2hS3Vjkw7tMt5l9l4uXS6SEUJINjmimMHTdCd9HsQTQ8pCuPIByzUbBZwB0sgrd4RNRqabtNiA7d-WDSmtciOxKrQTYol2jetzhWPxlaxUZdvTvti8c3Pw1lehn57yQXCSiVvkVYDwqTeNBmXshPcLDJ7nbrIoklVx8UE-RmEo2xwTp6J7T6RiHgDV6Xx_CzZgXmweLTHNjyE.K-EY0FN0wOEN5uJEgEPse66hp5_SnLF2_MJnoYTxtXI&amp;dib_tag=se&amp;keywords=tft+lcd+4&amp;qid=1722419501&amp;sprefix=tft+lcd+4%2Caps%2C119&amp;sr=8-5" TargetMode="External"/><Relationship Id="rId14" Type="http://schemas.openxmlformats.org/officeDocument/2006/relationships/hyperlink" Target="https://www.sanyourelay.ca/public/products/pdf/SYS1.pdf" TargetMode="External"/><Relationship Id="rId22" Type="http://schemas.openxmlformats.org/officeDocument/2006/relationships/hyperlink" Target="https://www.cselettronica.net/ky040-modulo-encoder.1.0.2531.gp.23741.uw" TargetMode="External"/><Relationship Id="rId27" Type="http://schemas.openxmlformats.org/officeDocument/2006/relationships/hyperlink" Target="https://renhotecpro2.b-cdn.net/wp-content/uploads/2022/01/GX-Series-Aviation-Connectors-Presentation-1.pdf" TargetMode="External"/><Relationship Id="rId30" Type="http://schemas.openxmlformats.org/officeDocument/2006/relationships/hyperlink" Target="https://www.cselettronica.net/elettronica/attivi/integrati/integrati-a-z/integrati-ad/integrato-ad623anz.1.1.744.gp.23999.uw" TargetMode="External"/><Relationship Id="rId35" Type="http://schemas.openxmlformats.org/officeDocument/2006/relationships/hyperlink" Target="http://www.ti.com/lit/ds/symlink/lmc6484.pdf" TargetMode="External"/><Relationship Id="rId43" Type="http://schemas.openxmlformats.org/officeDocument/2006/relationships/hyperlink" Target="https://renhotecpro2.b-cdn.net/wp-content/uploads/2022/01/GX-Series-Aviation-Connectors-Presentation-1.pdf" TargetMode="External"/><Relationship Id="rId48" Type="http://schemas.openxmlformats.org/officeDocument/2006/relationships/hyperlink" Target="https://www.cselettronica.net/elettronica/connessione/conn-sa50-sb50-/sa50-supporto-per-contatti-2-vie-rosso-con-viti.1.1.2444.gp.21128.uw" TargetMode="External"/><Relationship Id="rId56" Type="http://schemas.openxmlformats.org/officeDocument/2006/relationships/hyperlink" Target="https://www.ebay.it/itm/164377654976?itmmeta=01J457QHX240EEKFACPEP4HRY8&amp;hash=item2645abf6c0:g:EeUAAOSw-F5gM5OX&amp;itmprp=enc%3AAQAJAAAAwLAjopMWGS5ku9%2BONq2gSmInDbXztO6jAeiu9ORpK%2FJgPZd2Gxap0cuH3KDqpxduRCzcdJbHjMR0VdHXoZA5pwrPBb%2FJLXm6WT6Z6hMVNrmLNKA8t1JVa2XWPa4n819%2BjCXuDXPLv2ED5FmYUZddW0Cy9HwEPqL8K546MAOdRvbaa2oelkNvB4xuIqiUzp7QAb7ZhbBEoQaoW6cZZBHLMZFe1ClfCAoylA15ClQOoqvVcalx8XCzhp5yeY9AVEYoLQ%3D%3D%7Ctkp%3ABk9SR9Ce3qehZA" TargetMode="External"/><Relationship Id="rId64" Type="http://schemas.openxmlformats.org/officeDocument/2006/relationships/hyperlink" Target="https://www.anen-connector.com/multipole-power-connectors-sa50sa502-2-product/" TargetMode="External"/><Relationship Id="rId69" Type="http://schemas.openxmlformats.org/officeDocument/2006/relationships/hyperlink" Target="https://www.cselettronica.net/elettronica/alimentazione/convertitori-dc-dc/uscita-regolabile/2846-modulodcdc-dc-dc-uscita-1-5-35v-3a.1.1.2507.gp.22213.uw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https://www.cselettronica.net/elettronica/attivi/integrati/integrati-a-z/integrati-lmc/integrato-lmc6484in-nopb.1.1.311.gp.3039.uw" TargetMode="External"/><Relationship Id="rId51" Type="http://schemas.openxmlformats.org/officeDocument/2006/relationships/hyperlink" Target="https://www.amazon.it/QitinDasen-Aviazione-Connettore-Protettore-Cacciavite/dp/B07Y9VL1CT/ref=sr_1_4?__mk_it_IT=%C3%85M%C3%85%C5%BD%C3%95%C3%91&amp;crid=16XCXE4W0M4UP&amp;dib=eyJ2IjoiMSJ9.uGLPpTEGeLFZaWScobNzmFsmEuooYrXloPiWnVhYsqOps3sPOd7IbOs7bbpQ0nDSCeOAoHlJwVdbqU66_zunawEMrpEmpxzjXRq9msGCOpTUj3f_NzboDe2TfQ8oyYzdNODMPSmWCPBQVRS9y3yRVn2AFWuzHuLZ9KeFuFiUMr4DAeVFYypPW4FaaxmmIShsCjHHiiPcaciX-Cdol4MmsQxDxd5UwhPgj7QEOoY1WCxrfMaP9y-lXv-z9mMm6OpF3VmJ6XHlStfHhCVdxAeZFzKeiQVnHAOLEiFrNd-MvWo.ouk1fJPhJYcCPWuWmUANtcGlkCIxUWaDwJUCbgTuCOE&amp;dib_tag=se&amp;keywords=gx12+5pin&amp;qid=1722457466&amp;sprefix=gx12+5pin%2Caps%2C121&amp;sr=8-4" TargetMode="External"/><Relationship Id="rId72" Type="http://schemas.openxmlformats.org/officeDocument/2006/relationships/hyperlink" Target="https://www.amazon.it/Aihasd-Digispark-Kickstarter-ATTINY85-sviluppo/dp/B07439SSQV/ref=sr_1_2?__mk_it_IT=%C3%85M%C3%85%C5%BD%C3%95%C3%91&amp;crid=3BCVBHTIQOWM3&amp;dib=eyJ2IjoiMSJ9.Zz6uFcrXTQTta_Mv6e-CIoecl7kqDK6N-4K9XUnLn734oGx-J470VCBP8JSd8Psr9dbsB107Ee-GbyFxkx-r5ju98fgHLa_2jcp8nEV2u4eLZMapiXrhlO8UlaoR0_52af66ki5Vwsy236qhPvztktpWGYwHbqcZI4tnYJCJHAXZp918PiX1HDLRbcHtasUGmsNLdsABLl3myDIQvk8XFlzToelCkuzZK6EPbZ0Zr4lM0LcaCofpwSbMRnGo4AFIMs4QKxIqxM1_UYnjz285RegVs50NfcZuIsQZPqEDas8.Niz8jWNk0gbtZykWqg5o0doLxwUVxRoa838UvN8UaTg&amp;dib_tag=se&amp;keywords=tiny85&amp;qid=1722539242&amp;sprefix=tiny8%2Caps%2C109&amp;sr=8-2" TargetMode="External"/><Relationship Id="rId3" Type="http://schemas.openxmlformats.org/officeDocument/2006/relationships/hyperlink" Target="https://docs.rs-online.com/ba42/A700000011111373.pdf" TargetMode="External"/><Relationship Id="rId12" Type="http://schemas.openxmlformats.org/officeDocument/2006/relationships/hyperlink" Target="https://www.cselettronica.net/elettronica/attivi/transistor/transistor/transistor-bc-/transistor-bc547b.1.1.750.gp.7309.uw" TargetMode="External"/><Relationship Id="rId17" Type="http://schemas.openxmlformats.org/officeDocument/2006/relationships/hyperlink" Target="https://www.ti.com/lit/ds/symlink/lm136-2.5-n.pdf?HQS=dis-dk-null-digikeymode-dsf-pf-null-wwe&amp;ts=1722377945944&amp;ref_url=https%253A%252F%252Fwww.ti.com%252Fgeneral%252Fdocs%252Fsuppproductinfo.tsp%253FdistId%253D10%2526gotoUrl%253Dhttps%253A%252F%252Fwww.ti.com%252Flit%252Fgpn%252Flm136-2.5-n" TargetMode="External"/><Relationship Id="rId25" Type="http://schemas.openxmlformats.org/officeDocument/2006/relationships/hyperlink" Target="https://renhotecpro2.b-cdn.net/wp-content/uploads/2022/01/GX-Series-Aviation-Connectors-Presentation-1.pdf" TargetMode="External"/><Relationship Id="rId33" Type="http://schemas.openxmlformats.org/officeDocument/2006/relationships/hyperlink" Target="https://ww1.microchip.com/downloads/en/DeviceDoc/Atmel-7810-Automotive-Microcontrollers-ATmega328P_Datasheet.pdf" TargetMode="External"/><Relationship Id="rId38" Type="http://schemas.openxmlformats.org/officeDocument/2006/relationships/hyperlink" Target="https://store.arduino.cc/products/arduino-nano" TargetMode="External"/><Relationship Id="rId46" Type="http://schemas.openxmlformats.org/officeDocument/2006/relationships/hyperlink" Target="https://www.anen-connector.com/multipole-power-connectors-sa50sa502-2-product/" TargetMode="External"/><Relationship Id="rId59" Type="http://schemas.openxmlformats.org/officeDocument/2006/relationships/hyperlink" Target="https://www.fischerelektronik.de/web_fischer/en_GB/VA/SK4975SA/datasheet.xhtml?branch=heatsinks" TargetMode="External"/><Relationship Id="rId67" Type="http://schemas.openxmlformats.org/officeDocument/2006/relationships/hyperlink" Target="https://it.aliexpress.com/item/1005005223111889.html?spm=a2g0o.productlist.main.11.18a2388bqr3GUt&amp;algo_pvid=16e6c082-eb75-45c8-b819-00a2db1418e7&amp;algo_exp_id=16e6c082-eb75-45c8-b819-00a2db1418e7-5&amp;pdp_npi=4%40dis%21EUR%213.14%213.14%21%21%213.32%213.32%21%402103879317225206819578566efcc0%2112000032249263837%21sea%21IT%210%21ABX&amp;curPageLogUid=KhowxcpDv7TH&amp;utparam-url=scene%3Asearch%7Cquery_from%3A" TargetMode="External"/><Relationship Id="rId20" Type="http://schemas.openxmlformats.org/officeDocument/2006/relationships/hyperlink" Target="https://docs.arduino.cc/resources/datasheets/ABX00023-datasheet.pdf" TargetMode="External"/><Relationship Id="rId41" Type="http://schemas.openxmlformats.org/officeDocument/2006/relationships/hyperlink" Target="https://cdn-shop.adafruit.com/datasheets/ads1115.pdf" TargetMode="External"/><Relationship Id="rId54" Type="http://schemas.openxmlformats.org/officeDocument/2006/relationships/hyperlink" Target="https://www.amazon.it/QitinDasen-Aviazione-Connettore-Protettore-Cacciavite/dp/B07Y9VL1CT/ref=sr_1_4?__mk_it_IT=%C3%85M%C3%85%C5%BD%C3%95%C3%91&amp;crid=16XCXE4W0M4UP&amp;dib=eyJ2IjoiMSJ9.uGLPpTEGeLFZaWScobNzmFsmEuooYrXloPiWnVhYsqOps3sPOd7IbOs7bbpQ0nDSCeOAoHlJwVdbqU66_zunawEMrpEmpxzjXRq9msGCOpTUj3f_NzboDe2TfQ8oyYzdNODMPSmWCPBQVRS9y3yRVn2AFWuzHuLZ9KeFuFiUMr4DAeVFYypPW4FaaxmmIShsCjHHiiPcaciX-Cdol4MmsQxDxd5UwhPgj7QEOoY1WCxrfMaP9y-lXv-z9mMm6OpF3VmJ6XHlStfHhCVdxAeZFzKeiQVnHAOLEiFrNd-MvWo.ouk1fJPhJYcCPWuWmUANtcGlkCIxUWaDwJUCbgTuCOE&amp;dib_tag=se&amp;keywords=gx12+5pin&amp;qid=1722457466&amp;sprefix=gx12+5pin%2Caps%2C121&amp;sr=8-4" TargetMode="External"/><Relationship Id="rId62" Type="http://schemas.openxmlformats.org/officeDocument/2006/relationships/hyperlink" Target="https://www.tecnomat.it/it/tubo-ferro-zincato-3-8-100-cm-10008368/" TargetMode="External"/><Relationship Id="rId70" Type="http://schemas.openxmlformats.org/officeDocument/2006/relationships/hyperlink" Target="https://www.cselettronica.net/elettronica/connessione/conn-sa50-sb50-/pa1319-contatto-awg6-per-sa120.1.1.2444.gp.28132.uw" TargetMode="External"/><Relationship Id="rId75" Type="http://schemas.openxmlformats.org/officeDocument/2006/relationships/hyperlink" Target="https://www.amazon.it/Gebildet-3-3V-5V-Convertitore-bidirezionale-confezione/dp/B07RY15XMJ/ref=sr_1_6?__mk_it_IT=%C3%85M%C3%85%C5%BD%C3%95%C3%91&amp;crid=27IIWCPOGC2H6&amp;dib=eyJ2IjoiMSJ9.nC0lHdNQsAeEqNcMYsLcUh9_ClNT8VTg3Oww6UePLBeTkERUZVYFP2rpdIbRxys_L2JiT6WkHuaveALoPSX_2IcgYwGkGjEYCnyiso06F2jdTgnJyHhO8T557slMV1Oq6Ej2QJ1WzebQoxty-90PFlkpV20TMzlE-d-o6o8EUw1Hkz8yAdB3Z35Q0n2YKi5M6C-_4tWTHN8yUaAPww7-hKRidlyVqLZD_aX7-2llw6FwA6AbvuLYPqOd5DkGEqBHYMBfCBu5tGp6pteaFIMg1g54HtzeySW_X3zp0gfOdIk.FqDLY21QioS4THOrj7wJsAYdcBTsL5M90v_jVYLddLk&amp;dib_tag=se&amp;keywords=logic%2Blevel&amp;qid=1722789667&amp;sprefix=logic%2Blevel%2B%2Caps%2C110&amp;sr=8-6&amp;th=1" TargetMode="External"/><Relationship Id="rId1" Type="http://schemas.openxmlformats.org/officeDocument/2006/relationships/hyperlink" Target="https://it.aliexpress.com/item/1005006873314722.html" TargetMode="External"/><Relationship Id="rId6" Type="http://schemas.openxmlformats.org/officeDocument/2006/relationships/hyperlink" Target="https://www.amazon.it/AZDelivery-Convertitore-ADS1115-Raspberry-Gratuito/dp/B07QHWLTTS/ref=sr_1_6?__mk_it_IT=%C3%85M%C3%85%C5%BD%C3%95%C3%91&amp;crid=3SOWB1RN3G9JE&amp;dib=eyJ2IjoiMSJ9.CulhiQkaRvzPCZNFlpS3H1n-1x3vKwAmo1-OAo0_nAGInH2qnszQnC8xk0AqRPYuZGCjFtQTRG92-N1ITM-uW0UmbX2W1DiWc-0X7msxdh-WXc3FeRgMvCdKxfLyrQ-qpx57vkAG4hddJQNcHnEwMz-W6RrUdvCmjHop94OlUnuXIEq5WAGqqE93UI6Q2KzSAZACS5F6a-edUzP5lx2PmAbDd6wSqreTUQhXx0hKVqvD6ruxlYCtL1aSj9cRXRK6kDvDobaezKbr49pF_BbFOZBSXH6ByxUWDyP6pat5vXM.bykMYDBpJBHlVBA3fvUOyPN2CkhWA-cCldyGNHdFn74&amp;dib_tag=se&amp;keywords=adc&amp;qid=1722374876&amp;sprefix=adc+%2Caps%2C113&amp;sr=8-6" TargetMode="External"/><Relationship Id="rId15" Type="http://schemas.openxmlformats.org/officeDocument/2006/relationships/hyperlink" Target="https://www.cselettronica.net/elettronica/commutazione/rele-elettromeccanici/rele-con-bobina-a-c-c-/bobina-a-5vdc/1-scambio/sys1-rele-5vdc-1-scambio.1.1.867.gp.8811.uw" TargetMode="External"/><Relationship Id="rId23" Type="http://schemas.openxmlformats.org/officeDocument/2006/relationships/hyperlink" Target="https://renhotecpro2.b-cdn.net/wp-content/uploads/2022/01/GX-Series-Aviation-Connectors-Presentation-1.pdf" TargetMode="External"/><Relationship Id="rId28" Type="http://schemas.openxmlformats.org/officeDocument/2006/relationships/hyperlink" Target="https://www.amazon.it/AZDelivery-Convertitore-ADS1115-Raspberry-Gratuito/dp/B07QHWLTTS/ref=sr_1_6?__mk_it_IT=%C3%85M%C3%85%C5%BD%C3%95%C3%91&amp;crid=3SOWB1RN3G9JE&amp;dib=eyJ2IjoiMSJ9.CulhiQkaRvzPCZNFlpS3H1n-1x3vKwAmo1-OAo0_nAGInH2qnszQnC8xk0AqRPYuZGCjFtQTRG92-N1ITM-uW0UmbX2W1DiWc-0X7msxdh-WXc3FeRgMvCdKxfLyrQ-qpx57vkAG4hddJQNcHnEwMz-W6RrUdvCmjHop94OlUnuXIEq5WAGqqE93UI6Q2KzSAZACS5F6a-edUzP5lx2PmAbDd6wSqreTUQhXx0hKVqvD6ruxlYCtL1aSj9cRXRK6kDvDobaezKbr49pF_BbFOZBSXH6ByxUWDyP6pat5vXM.bykMYDBpJBHlVBA3fvUOyPN2CkhWA-cCldyGNHdFn74&amp;dib_tag=se&amp;keywords=adc&amp;qid=1722374876&amp;sprefix=adc+%2Caps%2C113&amp;sr=8-6" TargetMode="External"/><Relationship Id="rId36" Type="http://schemas.openxmlformats.org/officeDocument/2006/relationships/hyperlink" Target="https://www.amazon.it/AZDelivery-Convertitore-ADS1115-Raspberry-Gratuito/dp/B07QHWLTTS/ref=sr_1_6?__mk_it_IT=%C3%85M%C3%85%C5%BD%C3%95%C3%91&amp;crid=3SOWB1RN3G9JE&amp;dib=eyJ2IjoiMSJ9.CulhiQkaRvzPCZNFlpS3H1n-1x3vKwAmo1-OAo0_nAGInH2qnszQnC8xk0AqRPYuZGCjFtQTRG92-N1ITM-uW0UmbX2W1DiWc-0X7msxdh-WXc3FeRgMvCdKxfLyrQ-qpx57vkAG4hddJQNcHnEwMz-W6RrUdvCmjHop94OlUnuXIEq5WAGqqE93UI6Q2KzSAZACS5F6a-edUzP5lx2PmAbDd6wSqreTUQhXx0hKVqvD6ruxlYCtL1aSj9cRXRK6kDvDobaezKbr49pF_BbFOZBSXH6ByxUWDyP6pat5vXM.bykMYDBpJBHlVBA3fvUOyPN2CkhWA-cCldyGNHdFn74&amp;dib_tag=se&amp;keywords=adc&amp;qid=1722374876&amp;sprefix=adc+%2Caps%2C113&amp;sr=8-6" TargetMode="External"/><Relationship Id="rId49" Type="http://schemas.openxmlformats.org/officeDocument/2006/relationships/hyperlink" Target="https://www.amazon.it/QitinDasen-Aviazione-Connettore-Protettore-Cacciavite/dp/B07Y9VL1CT/ref=sr_1_4?__mk_it_IT=%C3%85M%C3%85%C5%BD%C3%95%C3%91&amp;crid=16XCXE4W0M4UP&amp;dib=eyJ2IjoiMSJ9.uGLPpTEGeLFZaWScobNzmFsmEuooYrXloPiWnVhYsqOps3sPOd7IbOs7bbpQ0nDSCeOAoHlJwVdbqU66_zunawEMrpEmpxzjXRq9msGCOpTUj3f_NzboDe2TfQ8oyYzdNODMPSmWCPBQVRS9y3yRVn2AFWuzHuLZ9KeFuFiUMr4DAeVFYypPW4FaaxmmIShsCjHHiiPcaciX-Cdol4MmsQxDxd5UwhPgj7QEOoY1WCxrfMaP9y-lXv-z9mMm6OpF3VmJ6XHlStfHhCVdxAeZFzKeiQVnHAOLEiFrNd-MvWo.ouk1fJPhJYcCPWuWmUANtcGlkCIxUWaDwJUCbgTuCOE&amp;dib_tag=se&amp;keywords=gx12+5pin&amp;qid=1722457466&amp;sprefix=gx12+5pin%2Caps%2C121&amp;sr=8-4" TargetMode="External"/><Relationship Id="rId57" Type="http://schemas.openxmlformats.org/officeDocument/2006/relationships/hyperlink" Target="https://www.cselettronica.net/elettronica/attivi/accessori/paste-termoconduttive/pasta-termica-nano-grease-3gr.1.1.23.gp.11730.uw" TargetMode="External"/><Relationship Id="rId10" Type="http://schemas.openxmlformats.org/officeDocument/2006/relationships/hyperlink" Target="https://www.cselettronica.net/elettronica/attivi/integrati/integrati-a-z/integrati-lm/integrato-lm35dz-nopb.1.1.312.gp.11687.uw" TargetMode="External"/><Relationship Id="rId31" Type="http://schemas.openxmlformats.org/officeDocument/2006/relationships/hyperlink" Target="https://www.analog.com/media/en/technical-documentation/data-sheets/ad623.pdf" TargetMode="External"/><Relationship Id="rId44" Type="http://schemas.openxmlformats.org/officeDocument/2006/relationships/hyperlink" Target="https://www.distrelec.it/it/alimentatore-montato-su-guida-din-ac-dc-94-24v-20a-480w-regolabile-rnd-rnd-315-00017/p/30151537?redirectQuery=301-51-537" TargetMode="External"/><Relationship Id="rId52" Type="http://schemas.openxmlformats.org/officeDocument/2006/relationships/hyperlink" Target="https://www.amazon.it/QitinDasen-Aviazione-Connettore-Protettore-Cacciavite/dp/B07Y9VL1CT/ref=sr_1_4?__mk_it_IT=%C3%85M%C3%85%C5%BD%C3%95%C3%91&amp;crid=16XCXE4W0M4UP&amp;dib=eyJ2IjoiMSJ9.uGLPpTEGeLFZaWScobNzmFsmEuooYrXloPiWnVhYsqOps3sPOd7IbOs7bbpQ0nDSCeOAoHlJwVdbqU66_zunawEMrpEmpxzjXRq9msGCOpTUj3f_NzboDe2TfQ8oyYzdNODMPSmWCPBQVRS9y3yRVn2AFWuzHuLZ9KeFuFiUMr4DAeVFYypPW4FaaxmmIShsCjHHiiPcaciX-Cdol4MmsQxDxd5UwhPgj7QEOoY1WCxrfMaP9y-lXv-z9mMm6OpF3VmJ6XHlStfHhCVdxAeZFzKeiQVnHAOLEiFrNd-MvWo.ouk1fJPhJYcCPWuWmUANtcGlkCIxUWaDwJUCbgTuCOE&amp;dib_tag=se&amp;keywords=gx12+5pin&amp;qid=1722457466&amp;sprefix=gx12+5pin%2Caps%2C121&amp;sr=8-4" TargetMode="External"/><Relationship Id="rId60" Type="http://schemas.openxmlformats.org/officeDocument/2006/relationships/hyperlink" Target="https://www.amazon.it/ETOPARS-Resistore-Alluminio-Resistenza-Adattatore/dp/B0BWXLP8VQ/ref=sr_1_5?__mk_it_IT=%C3%85M%C3%85%C5%BD%C3%95%C3%91&amp;crid=2ZSYXECB4Q9C4&amp;dib=eyJ2IjoiMSJ9.U0A3kgMZCTbsrrHBjZ9wB_Rn2RINvXEZChWKhQ6DifA_mt_msGhFE-MCpjIAlgByZpBLtB2jqYb4ZbGXA4qGvyRVNzae_k9s0sarPIjWORQjReBD1ZgbkhCv7y1K_wz2hvVI9Y3Mv2CiFOU1hQhof-L_nfbfLB7lW40lnqwEbSSP8TVxurRcU-HeDZhhH8ilqhD_ftbFVWZe6mDTEH2SuFSn2nN__zElj8RDxlDh-FbrxIYEjr5vHTWqcePYNLX4wZhTAsR6YjAzfpVFKHg-0CojQgK7jGDluUsiCcrdkRc.EmzvSIAsq_gzmK0Sg8YmilM-vw7KynN5RPwKu5vakwY&amp;dib_tag=se&amp;keywords=resistenza%2B100W%2B0.5%2Bohm&amp;qid=1722460656&amp;sprefix=resistenza%2B100w%2B0.5%2Bohm%2Caps%2C119&amp;sr=8-5&amp;th=1" TargetMode="External"/><Relationship Id="rId65" Type="http://schemas.openxmlformats.org/officeDocument/2006/relationships/hyperlink" Target="https://www.cselettronica.net/elettronica/connessione/conn-sa50-sb50-/pa112g1-maniglia-per-connettore-sa50-rossa-con-viti.1.1.2444.gp.28128.uw" TargetMode="External"/><Relationship Id="rId73" Type="http://schemas.openxmlformats.org/officeDocument/2006/relationships/hyperlink" Target="https://www.amazon.it/Jopto-Risoluzione-Fornitura-Compatibile-Raspberry/dp/B096Z6F4FB/ref=sr_1_1?crid=35PV5V3WKSLD2&amp;dib=eyJ2IjoiMSJ9.OsHTm9eAIEVHXt9961tTwf6oDQPKvnbSo9b3P1hDNcgIW6wecN8JsRsyWdRhMYfp6ntiqkBl6EYVQ1Qzzmlyp3u9IGU_j63Aodt3nNlEEjdOKs4WmmJVuoaJJnSF_XEZ8dm2_dFtV7gERwFDUGd_efv7WITMl5fbfC_FvsBAUTbFMtJpWtzoeXRcpi4-WH6zopztZAB3WelOAkk7JPXqsKQO-DcDwFCodG4aJCUenOKrHiJN3pMxY4PZfU4575Ibp5KJCiLrwrW5x1lLx9Mp5vruUEDUQRj1IhBfdJ2CXE0.ZG5v73hJip3gcrbUnAgLTjNvZgDplpOQK5LtdjfTFQo&amp;dib_tag=se&amp;keywords=dac+12+bit&amp;qid=1722782849&amp;sprefix=%2Caps%2C221&amp;sr=8-1" TargetMode="External"/><Relationship Id="rId4" Type="http://schemas.openxmlformats.org/officeDocument/2006/relationships/hyperlink" Target="https://www.amazon.it/Mars-Gaming-MC-MASTER-Metal-Mesh-Ultrasilenziose/dp/B0BM4DSWJX/ref=sr_1_13?__mk_it_IT=%C3%85M%C3%85%C5%BD%C3%95%C3%91&amp;crid=2VBQSJF4FDPCE&amp;dib=eyJ2IjoiMSJ9.GrCqSWfjSSNN3R-t-IWRVUpBxSTN06qfPFquTsQMSoiNzkcbLWb4QZtsUakhES4fwfeLAxgM6pLj9qAWJL4RmUPz-LT5Px2HO1ayRM6PLHpVjtFeS4m3xSsKci4Q2NFGFQfuu-67v6Ln4hXIjkCB9BMT9AW-Gx2sr4sEx0KjzAStm6z_wUhOvyOiwJsGwakuebe3jfnX5557VJqmB1NhMSkcvYT2w1ojfdHtwZsAV7RXyBOhj9kLcTnGx0Vwss6vGkMSepHfttrBDqbgxiJaffdiAKMmNUkBTT5sBHmDXiU.sPMAPHBfgbW9krO35sxPJjyN7EAGrIUNDOcaSe27gcY&amp;dib_tag=se&amp;keywords=case+pc+semplice&amp;qid=1722360644&amp;sprefix=case+pc+semplic%2Caps%2C103&amp;sr=8-13" TargetMode="External"/><Relationship Id="rId9" Type="http://schemas.openxmlformats.org/officeDocument/2006/relationships/hyperlink" Target="http://www.ti.com/lit/ds/symlink/lmc6484.pdf" TargetMode="External"/><Relationship Id="rId13" Type="http://schemas.openxmlformats.org/officeDocument/2006/relationships/hyperlink" Target="https://www.mouser.it/datasheet/2/308/1/BC550_D-2310266.pdf" TargetMode="External"/><Relationship Id="rId18" Type="http://schemas.openxmlformats.org/officeDocument/2006/relationships/hyperlink" Target="https://www.cselettronica.net/elettronica/connessione/terminali/terminali-preisolati/capicorda/a3m6-capicorda-non-isolato-a-6-4-b-11-5.1.1.2359.gp.19857.uw" TargetMode="External"/><Relationship Id="rId39" Type="http://schemas.openxmlformats.org/officeDocument/2006/relationships/hyperlink" Target="https://ww1.microchip.com/downloads/en/DeviceDoc/Atmel-7810-Automotive-Microcontrollers-ATmega328P_Datasheet.pdf" TargetMode="External"/><Relationship Id="rId34" Type="http://schemas.openxmlformats.org/officeDocument/2006/relationships/hyperlink" Target="https://www.cselettronica.net/elettronica/attivi/integrati/integrati-a-z/integrati-lmc/integrato-lmc6484in-nopb.1.1.311.gp.3039.uw" TargetMode="External"/><Relationship Id="rId50" Type="http://schemas.openxmlformats.org/officeDocument/2006/relationships/hyperlink" Target="https://www.amazon.it/QitinDasen-Aviazione-Connettore-Protettore-Cacciavite/dp/B07Y9VL1CT/ref=sr_1_4?__mk_it_IT=%C3%85M%C3%85%C5%BD%C3%95%C3%91&amp;crid=16XCXE4W0M4UP&amp;dib=eyJ2IjoiMSJ9.uGLPpTEGeLFZaWScobNzmFsmEuooYrXloPiWnVhYsqOps3sPOd7IbOs7bbpQ0nDSCeOAoHlJwVdbqU66_zunawEMrpEmpxzjXRq9msGCOpTUj3f_NzboDe2TfQ8oyYzdNODMPSmWCPBQVRS9y3yRVn2AFWuzHuLZ9KeFuFiUMr4DAeVFYypPW4FaaxmmIShsCjHHiiPcaciX-Cdol4MmsQxDxd5UwhPgj7QEOoY1WCxrfMaP9y-lXv-z9mMm6OpF3VmJ6XHlStfHhCVdxAeZFzKeiQVnHAOLEiFrNd-MvWo.ouk1fJPhJYcCPWuWmUANtcGlkCIxUWaDwJUCbgTuCOE&amp;dib_tag=se&amp;keywords=gx12+5pin&amp;qid=1722457466&amp;sprefix=gx12+5pin%2Caps%2C121&amp;sr=8-4" TargetMode="External"/><Relationship Id="rId55" Type="http://schemas.openxmlformats.org/officeDocument/2006/relationships/hyperlink" Target="https://www.amazon.it/QitinDasen-Aviazione-Connettore-Protettore-Cacciavite/dp/B07Y9VL1CT/ref=sr_1_4?__mk_it_IT=%C3%85M%C3%85%C5%BD%C3%95%C3%91&amp;crid=16XCXE4W0M4UP&amp;dib=eyJ2IjoiMSJ9.uGLPpTEGeLFZaWScobNzmFsmEuooYrXloPiWnVhYsqOps3sPOd7IbOs7bbpQ0nDSCeOAoHlJwVdbqU66_zunawEMrpEmpxzjXRq9msGCOpTUj3f_NzboDe2TfQ8oyYzdNODMPSmWCPBQVRS9y3yRVn2AFWuzHuLZ9KeFuFiUMr4DAeVFYypPW4FaaxmmIShsCjHHiiPcaciX-Cdol4MmsQxDxd5UwhPgj7QEOoY1WCxrfMaP9y-lXv-z9mMm6OpF3VmJ6XHlStfHhCVdxAeZFzKeiQVnHAOLEiFrNd-MvWo.ouk1fJPhJYcCPWuWmUANtcGlkCIxUWaDwJUCbgTuCOE&amp;dib_tag=se&amp;keywords=gx12+5pin&amp;qid=1722457466&amp;sprefix=gx12+5pin%2Caps%2C121&amp;sr=8-4" TargetMode="External"/><Relationship Id="rId76" Type="http://schemas.openxmlformats.org/officeDocument/2006/relationships/hyperlink" Target="https://www.amazon.it/XTVTX-microcontrollore-RP2040-Zero-intestazione-applicazioni/dp/B0BCVW5YKK/?_encoding=UTF8&amp;pd_rd_w=NQvKt&amp;content-id=amzn1.sym.07895d23-92fb-43b1-a9ee-f57ee9ea4f7c%3Aamzn1.symc.fc11ad14-99c1-406b-aa77-051d0ba1aade&amp;pf_rd_p=07895d23-92fb-43b1-a9ee-f57ee9ea4f7c&amp;pf_rd_r=J626EP2Z3JG4ZM80707M&amp;pd_rd_wg=ER6vs&amp;pd_rd_r=e23c80e0-84c2-4d99-96b0-3867c3842f90&amp;ref_=pd_hp_d_atf_ci_mcx_mr_ca_hp_atf_d" TargetMode="External"/><Relationship Id="rId7" Type="http://schemas.openxmlformats.org/officeDocument/2006/relationships/hyperlink" Target="https://cdn-shop.adafruit.com/datasheets/ads1115.pdf" TargetMode="External"/><Relationship Id="rId71" Type="http://schemas.openxmlformats.org/officeDocument/2006/relationships/hyperlink" Target="https://www.amazon.it/Adafruit-QT-Py-Scheda-sviluppo/dp/B09GZZF7BY/ref=sr_1_1?__mk_it_IT=%C3%85M%C3%85%C5%BD%C3%95%C3%91&amp;crid=8EUZMQSOB5KT&amp;dib=eyJ2IjoiMSJ9.X5MCi4g0301iJ7lraOPC5Nu4I3uk7re8xIxqbxiZVC57rWXEx-bCy-iJ7nIoK78hiXLTj-wo10hBqW5ItnRLNpl3CtL7eMHSFmtOwIPOZtR-ytUqQutCyYlX6S-b60_7RcBg0G--bykFlOWRKm1XEziCeWa1xCDMBCFP9rZNZ4-muHnSC_O6Ea8G7cbmEUkkyHxP43eL2_oRWHVrga3ndB6L_FbxhT7Ettt-mJFdjrJXg-G3_VS3Jg3rhRwV-RuOi0hn_UT7ONS6DmOVJaOjOmtvnoDrsPdAYjpQ5KgkdNE.tHsy7JXETyXYbqeN1yNJdDAuyt8_3ThN-FQlidbzYrU&amp;dib_tag=se&amp;keywords=samd21&amp;qid=1722539165&amp;sprefix=samd2%2Caps%2C136&amp;sr=8-1" TargetMode="External"/><Relationship Id="rId2" Type="http://schemas.openxmlformats.org/officeDocument/2006/relationships/hyperlink" Target="https://amsanelectronics.com/product/step-down-800w-30a-buck-converter-power-supply-penurun-tegangan-dc/" TargetMode="External"/><Relationship Id="rId29" Type="http://schemas.openxmlformats.org/officeDocument/2006/relationships/hyperlink" Target="https://cdn-shop.adafruit.com/datasheets/ads111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32"/>
  <sheetViews>
    <sheetView tabSelected="1" topLeftCell="A11" workbookViewId="0">
      <selection activeCell="D28" sqref="D28"/>
    </sheetView>
  </sheetViews>
  <sheetFormatPr defaultRowHeight="14.4" x14ac:dyDescent="0.3"/>
  <cols>
    <col min="2" max="2" width="5.5546875" customWidth="1"/>
    <col min="3" max="3" width="7" customWidth="1"/>
    <col min="4" max="4" width="36.77734375" customWidth="1"/>
    <col min="6" max="6" width="19.77734375" customWidth="1"/>
    <col min="7" max="7" width="9.88671875" customWidth="1"/>
    <col min="8" max="8" width="12.109375" customWidth="1"/>
    <col min="9" max="9" width="13" customWidth="1"/>
    <col min="10" max="10" width="41.88671875" customWidth="1"/>
  </cols>
  <sheetData>
    <row r="3" spans="1:11" ht="25.8" x14ac:dyDescent="0.5">
      <c r="A3" t="s">
        <v>103</v>
      </c>
      <c r="B3" s="6"/>
      <c r="F3" s="17" t="s">
        <v>0</v>
      </c>
    </row>
    <row r="4" spans="1:11" x14ac:dyDescent="0.3">
      <c r="A4" t="s">
        <v>104</v>
      </c>
      <c r="B4" s="5"/>
      <c r="D4" t="s">
        <v>109</v>
      </c>
      <c r="E4" s="16"/>
    </row>
    <row r="5" spans="1:11" x14ac:dyDescent="0.3">
      <c r="A5" t="s">
        <v>105</v>
      </c>
      <c r="B5" s="10"/>
      <c r="D5" t="s">
        <v>108</v>
      </c>
      <c r="E5" s="14"/>
    </row>
    <row r="6" spans="1:11" ht="18" x14ac:dyDescent="0.35">
      <c r="B6" t="s">
        <v>102</v>
      </c>
      <c r="D6" s="4" t="s">
        <v>1</v>
      </c>
    </row>
    <row r="8" spans="1:11" x14ac:dyDescent="0.3">
      <c r="D8" s="1" t="s">
        <v>8</v>
      </c>
      <c r="E8" s="1" t="s">
        <v>9</v>
      </c>
      <c r="F8" s="1" t="s">
        <v>2</v>
      </c>
      <c r="G8" s="1" t="s">
        <v>83</v>
      </c>
      <c r="H8" s="1" t="s">
        <v>4</v>
      </c>
      <c r="I8" s="1" t="s">
        <v>5</v>
      </c>
      <c r="J8" s="1" t="s">
        <v>21</v>
      </c>
      <c r="K8" s="1" t="s">
        <v>6</v>
      </c>
    </row>
    <row r="10" spans="1:11" ht="15" x14ac:dyDescent="0.35">
      <c r="B10" s="11"/>
      <c r="D10" t="s">
        <v>24</v>
      </c>
      <c r="E10">
        <v>1</v>
      </c>
      <c r="F10" s="2" t="s">
        <v>7</v>
      </c>
      <c r="G10">
        <v>35</v>
      </c>
      <c r="H10" s="3" t="s">
        <v>10</v>
      </c>
      <c r="I10" s="3" t="s">
        <v>11</v>
      </c>
      <c r="K10">
        <f>G10*E10</f>
        <v>35</v>
      </c>
    </row>
    <row r="11" spans="1:11" x14ac:dyDescent="0.3">
      <c r="B11" s="8"/>
      <c r="D11" t="s">
        <v>13</v>
      </c>
      <c r="E11">
        <v>1</v>
      </c>
      <c r="F11" t="s">
        <v>12</v>
      </c>
      <c r="G11">
        <v>109.8</v>
      </c>
      <c r="H11" s="3" t="s">
        <v>82</v>
      </c>
      <c r="I11" s="3" t="s">
        <v>11</v>
      </c>
      <c r="J11" t="s">
        <v>45</v>
      </c>
      <c r="K11">
        <f t="shared" ref="K11:K12" si="0">G11*E11</f>
        <v>109.8</v>
      </c>
    </row>
    <row r="12" spans="1:11" x14ac:dyDescent="0.3">
      <c r="B12" s="11"/>
      <c r="D12" t="s">
        <v>14</v>
      </c>
      <c r="E12">
        <v>1</v>
      </c>
      <c r="G12">
        <v>62.5</v>
      </c>
      <c r="H12" s="3" t="s">
        <v>15</v>
      </c>
      <c r="J12" t="s">
        <v>22</v>
      </c>
      <c r="K12">
        <f t="shared" si="0"/>
        <v>62.5</v>
      </c>
    </row>
    <row r="13" spans="1:11" x14ac:dyDescent="0.3">
      <c r="B13" s="8"/>
      <c r="D13" t="s">
        <v>111</v>
      </c>
      <c r="E13">
        <v>1</v>
      </c>
      <c r="F13" t="s">
        <v>112</v>
      </c>
      <c r="G13">
        <v>16</v>
      </c>
      <c r="H13" s="3" t="s">
        <v>15</v>
      </c>
      <c r="K13">
        <f>G13*E13</f>
        <v>16</v>
      </c>
    </row>
    <row r="14" spans="1:11" x14ac:dyDescent="0.3">
      <c r="B14" s="8"/>
      <c r="D14" t="s">
        <v>115</v>
      </c>
      <c r="E14">
        <v>1</v>
      </c>
      <c r="F14" t="s">
        <v>115</v>
      </c>
      <c r="G14">
        <v>3</v>
      </c>
      <c r="H14" s="3" t="s">
        <v>15</v>
      </c>
      <c r="I14" s="3" t="s">
        <v>11</v>
      </c>
      <c r="K14">
        <f>G14*E14</f>
        <v>3</v>
      </c>
    </row>
    <row r="15" spans="1:11" x14ac:dyDescent="0.3">
      <c r="B15" s="8"/>
      <c r="D15" t="s">
        <v>88</v>
      </c>
      <c r="E15">
        <v>3</v>
      </c>
      <c r="F15" t="s">
        <v>89</v>
      </c>
      <c r="G15">
        <v>3.14</v>
      </c>
      <c r="H15" s="3" t="s">
        <v>10</v>
      </c>
      <c r="I15" s="3" t="s">
        <v>11</v>
      </c>
      <c r="K15">
        <f t="shared" ref="K15:K35" si="1">G15*E15</f>
        <v>9.42</v>
      </c>
    </row>
    <row r="16" spans="1:11" x14ac:dyDescent="0.3">
      <c r="B16" s="8"/>
      <c r="D16" t="s">
        <v>84</v>
      </c>
      <c r="E16">
        <v>3</v>
      </c>
      <c r="F16" t="s">
        <v>85</v>
      </c>
      <c r="G16">
        <f>0.57*1.22</f>
        <v>0.69539999999999991</v>
      </c>
      <c r="H16" s="3" t="s">
        <v>16</v>
      </c>
      <c r="I16" s="3" t="s">
        <v>11</v>
      </c>
      <c r="K16">
        <f t="shared" si="1"/>
        <v>2.0861999999999998</v>
      </c>
    </row>
    <row r="17" spans="2:11" x14ac:dyDescent="0.3">
      <c r="B17" s="8"/>
      <c r="D17" t="s">
        <v>18</v>
      </c>
      <c r="E17">
        <v>2</v>
      </c>
      <c r="F17" t="s">
        <v>19</v>
      </c>
      <c r="G17">
        <f>0.7</f>
        <v>0.7</v>
      </c>
      <c r="H17" s="3" t="s">
        <v>15</v>
      </c>
      <c r="I17" s="3" t="s">
        <v>11</v>
      </c>
      <c r="J17" t="s">
        <v>90</v>
      </c>
      <c r="K17">
        <f t="shared" si="1"/>
        <v>1.4</v>
      </c>
    </row>
    <row r="18" spans="2:11" x14ac:dyDescent="0.3">
      <c r="B18" s="8"/>
      <c r="D18" t="s">
        <v>92</v>
      </c>
      <c r="E18">
        <v>1</v>
      </c>
      <c r="F18" t="s">
        <v>93</v>
      </c>
      <c r="G18">
        <v>4.5999999999999996</v>
      </c>
      <c r="H18" s="3" t="s">
        <v>91</v>
      </c>
      <c r="J18" t="s">
        <v>20</v>
      </c>
      <c r="K18">
        <f t="shared" si="1"/>
        <v>4.5999999999999996</v>
      </c>
    </row>
    <row r="19" spans="2:11" x14ac:dyDescent="0.3">
      <c r="B19" s="8"/>
      <c r="D19" t="s">
        <v>106</v>
      </c>
      <c r="E19">
        <v>2</v>
      </c>
      <c r="G19">
        <v>5.5</v>
      </c>
      <c r="H19" s="3" t="s">
        <v>15</v>
      </c>
      <c r="J19" t="s">
        <v>26</v>
      </c>
      <c r="K19">
        <f t="shared" si="1"/>
        <v>11</v>
      </c>
    </row>
    <row r="20" spans="2:11" x14ac:dyDescent="0.3">
      <c r="B20" s="15"/>
      <c r="D20" t="s">
        <v>107</v>
      </c>
      <c r="E20">
        <v>1</v>
      </c>
      <c r="F20" t="s">
        <v>25</v>
      </c>
      <c r="G20">
        <v>4.3</v>
      </c>
      <c r="H20" s="3" t="s">
        <v>16</v>
      </c>
      <c r="K20">
        <f t="shared" si="1"/>
        <v>4.3</v>
      </c>
    </row>
    <row r="21" spans="2:11" x14ac:dyDescent="0.3">
      <c r="B21" s="11"/>
      <c r="D21" t="s">
        <v>59</v>
      </c>
      <c r="E21">
        <v>1</v>
      </c>
      <c r="F21" t="s">
        <v>27</v>
      </c>
      <c r="G21">
        <v>5.5</v>
      </c>
      <c r="H21" s="3" t="s">
        <v>15</v>
      </c>
      <c r="I21" s="3" t="s">
        <v>11</v>
      </c>
      <c r="K21">
        <f t="shared" si="1"/>
        <v>5.5</v>
      </c>
    </row>
    <row r="22" spans="2:11" x14ac:dyDescent="0.3">
      <c r="B22" s="8"/>
      <c r="D22" t="s">
        <v>29</v>
      </c>
      <c r="E22">
        <v>1</v>
      </c>
      <c r="F22" t="s">
        <v>28</v>
      </c>
      <c r="G22">
        <f>2.13*1.22</f>
        <v>2.5985999999999998</v>
      </c>
      <c r="H22" s="3" t="s">
        <v>16</v>
      </c>
      <c r="I22" s="3" t="s">
        <v>11</v>
      </c>
      <c r="K22">
        <f t="shared" si="1"/>
        <v>2.5985999999999998</v>
      </c>
    </row>
    <row r="23" spans="2:11" x14ac:dyDescent="0.3">
      <c r="B23" s="8"/>
      <c r="D23" t="s">
        <v>30</v>
      </c>
      <c r="E23">
        <v>3</v>
      </c>
      <c r="F23" t="s">
        <v>31</v>
      </c>
      <c r="G23">
        <f>1.31*1.22</f>
        <v>1.5982000000000001</v>
      </c>
      <c r="H23" s="3" t="s">
        <v>16</v>
      </c>
      <c r="I23" s="3" t="s">
        <v>11</v>
      </c>
      <c r="K23">
        <f t="shared" si="1"/>
        <v>4.7946</v>
      </c>
    </row>
    <row r="24" spans="2:11" x14ac:dyDescent="0.3">
      <c r="B24" s="11"/>
      <c r="D24" t="s">
        <v>32</v>
      </c>
      <c r="E24">
        <v>1</v>
      </c>
      <c r="G24">
        <v>15</v>
      </c>
      <c r="H24" t="s">
        <v>16</v>
      </c>
      <c r="K24">
        <f t="shared" si="1"/>
        <v>15</v>
      </c>
    </row>
    <row r="25" spans="2:11" x14ac:dyDescent="0.3">
      <c r="B25" s="8"/>
      <c r="D25" t="s">
        <v>33</v>
      </c>
      <c r="E25">
        <v>1</v>
      </c>
      <c r="F25" t="s">
        <v>36</v>
      </c>
      <c r="G25">
        <f>0.61*1.22</f>
        <v>0.74419999999999997</v>
      </c>
      <c r="H25" s="3" t="s">
        <v>16</v>
      </c>
      <c r="I25" s="3" t="s">
        <v>11</v>
      </c>
      <c r="K25">
        <f t="shared" si="1"/>
        <v>0.74419999999999997</v>
      </c>
    </row>
    <row r="26" spans="2:11" x14ac:dyDescent="0.3">
      <c r="B26" s="8"/>
      <c r="D26" t="s">
        <v>34</v>
      </c>
      <c r="E26">
        <v>1</v>
      </c>
      <c r="F26" t="s">
        <v>35</v>
      </c>
      <c r="G26">
        <f>0.05*1.22</f>
        <v>6.0999999999999999E-2</v>
      </c>
      <c r="H26" s="3" t="s">
        <v>16</v>
      </c>
      <c r="I26" s="3" t="s">
        <v>11</v>
      </c>
      <c r="K26">
        <f t="shared" si="1"/>
        <v>6.0999999999999999E-2</v>
      </c>
    </row>
    <row r="27" spans="2:11" x14ac:dyDescent="0.3">
      <c r="B27" s="8"/>
      <c r="D27" t="s">
        <v>37</v>
      </c>
      <c r="E27">
        <v>1</v>
      </c>
      <c r="F27" t="s">
        <v>38</v>
      </c>
      <c r="G27">
        <f>0.53*1.22</f>
        <v>0.64660000000000006</v>
      </c>
      <c r="H27" s="3" t="s">
        <v>16</v>
      </c>
      <c r="I27" s="3" t="s">
        <v>11</v>
      </c>
      <c r="K27">
        <f t="shared" si="1"/>
        <v>0.64660000000000006</v>
      </c>
    </row>
    <row r="28" spans="2:11" x14ac:dyDescent="0.3">
      <c r="B28" s="8"/>
      <c r="C28" s="16"/>
      <c r="D28" t="s">
        <v>39</v>
      </c>
      <c r="E28">
        <v>2</v>
      </c>
      <c r="G28">
        <v>2.5</v>
      </c>
      <c r="K28">
        <f t="shared" si="1"/>
        <v>5</v>
      </c>
    </row>
    <row r="29" spans="2:11" x14ac:dyDescent="0.3">
      <c r="B29" s="8"/>
      <c r="D29" t="s">
        <v>40</v>
      </c>
      <c r="E29">
        <v>5</v>
      </c>
      <c r="F29" t="s">
        <v>41</v>
      </c>
      <c r="G29">
        <f>0.22*1.22</f>
        <v>0.26839999999999997</v>
      </c>
      <c r="H29" s="3" t="s">
        <v>16</v>
      </c>
      <c r="K29">
        <f t="shared" si="1"/>
        <v>1.3419999999999999</v>
      </c>
    </row>
    <row r="30" spans="2:11" x14ac:dyDescent="0.3">
      <c r="B30" s="8"/>
      <c r="D30" t="s">
        <v>95</v>
      </c>
      <c r="E30">
        <v>2</v>
      </c>
      <c r="F30" t="s">
        <v>44</v>
      </c>
      <c r="G30">
        <v>4</v>
      </c>
      <c r="H30" s="3" t="s">
        <v>15</v>
      </c>
      <c r="I30" s="3"/>
      <c r="J30" t="s">
        <v>23</v>
      </c>
      <c r="K30">
        <f t="shared" si="1"/>
        <v>8</v>
      </c>
    </row>
    <row r="31" spans="2:11" x14ac:dyDescent="0.3">
      <c r="B31" s="8"/>
      <c r="D31" t="s">
        <v>42</v>
      </c>
      <c r="E31">
        <v>3</v>
      </c>
      <c r="F31" t="s">
        <v>43</v>
      </c>
      <c r="G31">
        <v>4</v>
      </c>
      <c r="H31" s="3" t="s">
        <v>15</v>
      </c>
      <c r="I31" s="3"/>
      <c r="J31" t="s">
        <v>23</v>
      </c>
      <c r="K31">
        <f t="shared" si="1"/>
        <v>12</v>
      </c>
    </row>
    <row r="32" spans="2:11" x14ac:dyDescent="0.3">
      <c r="B32" s="8"/>
      <c r="D32" t="s">
        <v>94</v>
      </c>
      <c r="E32">
        <v>2</v>
      </c>
      <c r="G32">
        <f>14.75*1.22</f>
        <v>17.995000000000001</v>
      </c>
      <c r="H32" s="3" t="s">
        <v>16</v>
      </c>
      <c r="I32" s="3" t="s">
        <v>11</v>
      </c>
      <c r="K32">
        <f t="shared" si="1"/>
        <v>35.99</v>
      </c>
    </row>
    <row r="33" spans="2:12" x14ac:dyDescent="0.3">
      <c r="B33" s="8"/>
      <c r="D33" t="s">
        <v>46</v>
      </c>
      <c r="E33">
        <v>1</v>
      </c>
      <c r="G33">
        <f>2.95*1.22</f>
        <v>3.5990000000000002</v>
      </c>
      <c r="H33" s="3" t="s">
        <v>16</v>
      </c>
      <c r="K33">
        <f t="shared" si="1"/>
        <v>3.5990000000000002</v>
      </c>
    </row>
    <row r="34" spans="2:12" x14ac:dyDescent="0.3">
      <c r="B34" s="8"/>
      <c r="D34" t="s">
        <v>54</v>
      </c>
      <c r="E34">
        <v>1</v>
      </c>
      <c r="G34">
        <v>1</v>
      </c>
      <c r="H34" t="s">
        <v>16</v>
      </c>
      <c r="K34">
        <f t="shared" si="1"/>
        <v>1</v>
      </c>
    </row>
    <row r="35" spans="2:12" x14ac:dyDescent="0.3">
      <c r="B35" s="7"/>
      <c r="K35">
        <f t="shared" si="1"/>
        <v>0</v>
      </c>
    </row>
    <row r="36" spans="2:12" x14ac:dyDescent="0.3">
      <c r="B36" s="7"/>
      <c r="D36" t="s">
        <v>47</v>
      </c>
      <c r="K36">
        <f>SUM(K10:K35)</f>
        <v>355.3821999999999</v>
      </c>
    </row>
    <row r="37" spans="2:12" x14ac:dyDescent="0.3">
      <c r="B37" s="7"/>
    </row>
    <row r="38" spans="2:12" x14ac:dyDescent="0.3">
      <c r="B38" s="7"/>
    </row>
    <row r="39" spans="2:12" ht="18" x14ac:dyDescent="0.35">
      <c r="B39" s="7"/>
      <c r="D39" s="4" t="s">
        <v>78</v>
      </c>
    </row>
    <row r="40" spans="2:12" x14ac:dyDescent="0.3">
      <c r="B40" s="7"/>
    </row>
    <row r="41" spans="2:12" x14ac:dyDescent="0.3">
      <c r="B41" s="7"/>
      <c r="D41" s="1" t="s">
        <v>8</v>
      </c>
      <c r="E41" s="1" t="s">
        <v>9</v>
      </c>
      <c r="F41" s="1" t="s">
        <v>2</v>
      </c>
      <c r="G41" s="1" t="s">
        <v>3</v>
      </c>
      <c r="H41" s="1" t="s">
        <v>4</v>
      </c>
      <c r="I41" s="1" t="s">
        <v>5</v>
      </c>
      <c r="J41" s="1" t="s">
        <v>21</v>
      </c>
      <c r="K41" s="1" t="s">
        <v>6</v>
      </c>
    </row>
    <row r="42" spans="2:12" x14ac:dyDescent="0.3">
      <c r="B42" s="7"/>
    </row>
    <row r="43" spans="2:12" x14ac:dyDescent="0.3">
      <c r="B43" s="8"/>
      <c r="C43" s="18"/>
      <c r="D43" t="s">
        <v>79</v>
      </c>
      <c r="E43">
        <v>3</v>
      </c>
      <c r="G43">
        <v>7.9</v>
      </c>
      <c r="H43" s="3" t="s">
        <v>96</v>
      </c>
      <c r="K43">
        <f t="shared" ref="K43:K48" si="2">G43*E43</f>
        <v>23.700000000000003</v>
      </c>
    </row>
    <row r="44" spans="2:12" x14ac:dyDescent="0.3">
      <c r="B44" s="8"/>
      <c r="C44" s="18"/>
      <c r="D44" t="s">
        <v>80</v>
      </c>
      <c r="E44">
        <v>3</v>
      </c>
      <c r="G44">
        <v>1.07</v>
      </c>
      <c r="H44" s="3" t="s">
        <v>96</v>
      </c>
      <c r="K44">
        <f t="shared" si="2"/>
        <v>3.21</v>
      </c>
      <c r="L44" t="s">
        <v>99</v>
      </c>
    </row>
    <row r="45" spans="2:12" x14ac:dyDescent="0.3">
      <c r="B45" s="8"/>
      <c r="D45" t="s">
        <v>87</v>
      </c>
      <c r="E45">
        <v>1</v>
      </c>
      <c r="F45" t="s">
        <v>86</v>
      </c>
      <c r="G45">
        <f>0.74*1.22</f>
        <v>0.90279999999999994</v>
      </c>
      <c r="H45" s="3" t="s">
        <v>16</v>
      </c>
      <c r="I45" s="3" t="s">
        <v>11</v>
      </c>
      <c r="K45">
        <f>G45*E45</f>
        <v>0.90279999999999994</v>
      </c>
    </row>
    <row r="46" spans="2:12" x14ac:dyDescent="0.3">
      <c r="B46" s="8"/>
      <c r="D46" t="s">
        <v>84</v>
      </c>
      <c r="E46">
        <v>1</v>
      </c>
      <c r="F46" t="s">
        <v>85</v>
      </c>
      <c r="G46">
        <f>0.57*1.22</f>
        <v>0.69539999999999991</v>
      </c>
      <c r="H46" s="3" t="s">
        <v>16</v>
      </c>
      <c r="I46" s="3" t="s">
        <v>11</v>
      </c>
      <c r="K46">
        <f>G46*E46</f>
        <v>0.69539999999999991</v>
      </c>
    </row>
    <row r="47" spans="2:12" x14ac:dyDescent="0.3">
      <c r="B47" s="8"/>
      <c r="C47" s="16"/>
      <c r="D47" t="s">
        <v>39</v>
      </c>
      <c r="E47">
        <v>8</v>
      </c>
      <c r="G47">
        <v>2.5</v>
      </c>
      <c r="K47">
        <f t="shared" si="2"/>
        <v>20</v>
      </c>
    </row>
    <row r="48" spans="2:12" x14ac:dyDescent="0.3">
      <c r="B48" s="8"/>
      <c r="C48" s="16"/>
      <c r="D48" t="s">
        <v>81</v>
      </c>
      <c r="E48">
        <v>1</v>
      </c>
      <c r="G48">
        <v>40</v>
      </c>
      <c r="J48" t="s">
        <v>22</v>
      </c>
      <c r="K48">
        <f t="shared" si="2"/>
        <v>40</v>
      </c>
    </row>
    <row r="49" spans="2:11" x14ac:dyDescent="0.3">
      <c r="B49" s="8"/>
      <c r="D49" t="s">
        <v>97</v>
      </c>
      <c r="E49">
        <v>1</v>
      </c>
      <c r="F49" t="s">
        <v>98</v>
      </c>
      <c r="G49">
        <f>0.82*1.22</f>
        <v>1.0004</v>
      </c>
      <c r="H49" s="3" t="s">
        <v>16</v>
      </c>
      <c r="I49" s="3" t="s">
        <v>11</v>
      </c>
      <c r="K49">
        <f>G49*E49</f>
        <v>1.0004</v>
      </c>
    </row>
    <row r="50" spans="2:11" x14ac:dyDescent="0.3">
      <c r="B50" s="7"/>
      <c r="K50">
        <f>SUM(K43:K49)</f>
        <v>89.508600000000001</v>
      </c>
    </row>
    <row r="51" spans="2:11" x14ac:dyDescent="0.3">
      <c r="B51" s="7"/>
      <c r="D51" t="s">
        <v>6</v>
      </c>
    </row>
    <row r="52" spans="2:11" x14ac:dyDescent="0.3">
      <c r="B52" s="7"/>
    </row>
    <row r="53" spans="2:11" x14ac:dyDescent="0.3">
      <c r="B53" s="7"/>
    </row>
    <row r="54" spans="2:11" x14ac:dyDescent="0.3">
      <c r="B54" s="7"/>
    </row>
    <row r="55" spans="2:11" x14ac:dyDescent="0.3">
      <c r="B55" s="7"/>
    </row>
    <row r="56" spans="2:11" x14ac:dyDescent="0.3">
      <c r="B56" s="7"/>
    </row>
    <row r="57" spans="2:11" x14ac:dyDescent="0.3">
      <c r="B57" s="7"/>
    </row>
    <row r="58" spans="2:11" ht="18" x14ac:dyDescent="0.35">
      <c r="B58" s="7"/>
      <c r="D58" s="4" t="s">
        <v>48</v>
      </c>
    </row>
    <row r="59" spans="2:11" x14ac:dyDescent="0.3">
      <c r="B59" s="7"/>
    </row>
    <row r="60" spans="2:11" x14ac:dyDescent="0.3">
      <c r="B60" s="7"/>
      <c r="D60" s="1" t="s">
        <v>8</v>
      </c>
      <c r="E60" s="1" t="s">
        <v>9</v>
      </c>
      <c r="F60" s="1" t="s">
        <v>2</v>
      </c>
      <c r="G60" s="1" t="s">
        <v>3</v>
      </c>
      <c r="H60" s="1" t="s">
        <v>4</v>
      </c>
      <c r="I60" s="1" t="s">
        <v>5</v>
      </c>
      <c r="J60" s="1" t="s">
        <v>21</v>
      </c>
      <c r="K60" s="1" t="s">
        <v>6</v>
      </c>
    </row>
    <row r="61" spans="2:11" x14ac:dyDescent="0.3">
      <c r="B61" s="7"/>
    </row>
    <row r="62" spans="2:11" x14ac:dyDescent="0.3">
      <c r="B62" s="11"/>
      <c r="D62" t="s">
        <v>49</v>
      </c>
      <c r="E62">
        <v>1</v>
      </c>
      <c r="G62">
        <v>20</v>
      </c>
      <c r="H62" s="3" t="s">
        <v>15</v>
      </c>
      <c r="K62">
        <f>G62*E62</f>
        <v>20</v>
      </c>
    </row>
    <row r="63" spans="2:11" x14ac:dyDescent="0.3">
      <c r="B63" s="11"/>
      <c r="D63" t="s">
        <v>51</v>
      </c>
      <c r="E63">
        <v>1</v>
      </c>
      <c r="F63" t="s">
        <v>51</v>
      </c>
      <c r="G63">
        <v>20</v>
      </c>
      <c r="H63" s="3" t="s">
        <v>17</v>
      </c>
      <c r="I63" s="3" t="s">
        <v>11</v>
      </c>
      <c r="J63" t="s">
        <v>50</v>
      </c>
      <c r="K63">
        <f>G63*E63</f>
        <v>20</v>
      </c>
    </row>
    <row r="64" spans="2:11" x14ac:dyDescent="0.3">
      <c r="B64" s="11"/>
      <c r="D64" t="s">
        <v>53</v>
      </c>
      <c r="E64">
        <v>1</v>
      </c>
      <c r="F64" t="s">
        <v>52</v>
      </c>
      <c r="G64">
        <f>1.64*1.22</f>
        <v>2.0007999999999999</v>
      </c>
      <c r="H64" s="3" t="s">
        <v>16</v>
      </c>
      <c r="K64">
        <f t="shared" ref="K64:K70" si="3">G64*E64</f>
        <v>2.0007999999999999</v>
      </c>
    </row>
    <row r="65" spans="2:11" x14ac:dyDescent="0.3">
      <c r="B65" s="8"/>
      <c r="D65" t="s">
        <v>54</v>
      </c>
      <c r="E65">
        <v>1</v>
      </c>
      <c r="G65">
        <v>1</v>
      </c>
      <c r="H65" t="s">
        <v>16</v>
      </c>
      <c r="K65">
        <f t="shared" si="3"/>
        <v>1</v>
      </c>
    </row>
    <row r="66" spans="2:11" x14ac:dyDescent="0.3">
      <c r="B66" s="8"/>
      <c r="D66" t="s">
        <v>18</v>
      </c>
      <c r="E66">
        <v>1</v>
      </c>
      <c r="F66" t="s">
        <v>19</v>
      </c>
      <c r="G66">
        <f>0.7</f>
        <v>0.7</v>
      </c>
      <c r="H66" s="3" t="s">
        <v>15</v>
      </c>
      <c r="I66" s="3" t="s">
        <v>11</v>
      </c>
      <c r="J66" t="s">
        <v>23</v>
      </c>
      <c r="K66">
        <f t="shared" si="3"/>
        <v>0.7</v>
      </c>
    </row>
    <row r="67" spans="2:11" x14ac:dyDescent="0.3">
      <c r="B67" s="8"/>
      <c r="D67" t="s">
        <v>57</v>
      </c>
      <c r="E67">
        <v>2</v>
      </c>
      <c r="F67" t="s">
        <v>19</v>
      </c>
      <c r="G67">
        <f>0.7</f>
        <v>0.7</v>
      </c>
      <c r="H67" s="3" t="s">
        <v>15</v>
      </c>
      <c r="I67" s="3" t="s">
        <v>11</v>
      </c>
      <c r="J67" t="s">
        <v>23</v>
      </c>
      <c r="K67">
        <f t="shared" si="3"/>
        <v>1.4</v>
      </c>
    </row>
    <row r="68" spans="2:11" x14ac:dyDescent="0.3">
      <c r="B68" s="8"/>
      <c r="C68" s="16"/>
      <c r="D68" t="s">
        <v>56</v>
      </c>
      <c r="E68">
        <v>2</v>
      </c>
      <c r="G68">
        <v>2</v>
      </c>
      <c r="J68" t="s">
        <v>22</v>
      </c>
      <c r="K68">
        <f t="shared" si="3"/>
        <v>4</v>
      </c>
    </row>
    <row r="69" spans="2:11" x14ac:dyDescent="0.3">
      <c r="B69" s="11"/>
      <c r="D69" t="s">
        <v>65</v>
      </c>
      <c r="E69">
        <v>1</v>
      </c>
      <c r="G69">
        <v>1</v>
      </c>
      <c r="K69">
        <f t="shared" si="3"/>
        <v>1</v>
      </c>
    </row>
    <row r="70" spans="2:11" x14ac:dyDescent="0.3">
      <c r="B70" s="8"/>
      <c r="D70" t="s">
        <v>100</v>
      </c>
      <c r="E70">
        <v>1</v>
      </c>
      <c r="G70">
        <v>1</v>
      </c>
      <c r="H70" t="s">
        <v>16</v>
      </c>
      <c r="K70">
        <f t="shared" si="3"/>
        <v>1</v>
      </c>
    </row>
    <row r="71" spans="2:11" x14ac:dyDescent="0.3">
      <c r="B71" s="7"/>
      <c r="D71" t="s">
        <v>6</v>
      </c>
      <c r="K71">
        <f>SUM(K62:K70)</f>
        <v>51.1008</v>
      </c>
    </row>
    <row r="72" spans="2:11" x14ac:dyDescent="0.3">
      <c r="B72" s="7"/>
    </row>
    <row r="73" spans="2:11" x14ac:dyDescent="0.3">
      <c r="B73" s="7"/>
    </row>
    <row r="74" spans="2:11" ht="18" x14ac:dyDescent="0.35">
      <c r="B74" s="7"/>
      <c r="D74" s="4" t="s">
        <v>55</v>
      </c>
    </row>
    <row r="75" spans="2:11" x14ac:dyDescent="0.3">
      <c r="B75" s="7"/>
    </row>
    <row r="76" spans="2:11" x14ac:dyDescent="0.3">
      <c r="B76" s="7"/>
      <c r="D76" s="1" t="s">
        <v>8</v>
      </c>
      <c r="E76" s="1" t="s">
        <v>9</v>
      </c>
      <c r="F76" s="1" t="s">
        <v>2</v>
      </c>
      <c r="G76" s="1" t="s">
        <v>3</v>
      </c>
      <c r="H76" s="1" t="s">
        <v>4</v>
      </c>
      <c r="I76" s="1" t="s">
        <v>5</v>
      </c>
      <c r="J76" s="1" t="s">
        <v>21</v>
      </c>
      <c r="K76" s="1" t="s">
        <v>6</v>
      </c>
    </row>
    <row r="77" spans="2:11" x14ac:dyDescent="0.3">
      <c r="B77" s="7"/>
    </row>
    <row r="78" spans="2:11" x14ac:dyDescent="0.3">
      <c r="B78" s="8"/>
      <c r="D78" t="s">
        <v>67</v>
      </c>
      <c r="E78">
        <v>1</v>
      </c>
      <c r="F78" t="s">
        <v>19</v>
      </c>
      <c r="G78">
        <f>0.7</f>
        <v>0.7</v>
      </c>
      <c r="H78" s="3" t="s">
        <v>15</v>
      </c>
      <c r="I78" s="3" t="s">
        <v>11</v>
      </c>
      <c r="J78" t="s">
        <v>23</v>
      </c>
      <c r="K78">
        <f t="shared" ref="K78:K79" si="4">G78*E78</f>
        <v>0.7</v>
      </c>
    </row>
    <row r="79" spans="2:11" x14ac:dyDescent="0.3">
      <c r="B79" s="8"/>
      <c r="D79" t="s">
        <v>68</v>
      </c>
      <c r="E79">
        <v>2</v>
      </c>
      <c r="F79" t="s">
        <v>19</v>
      </c>
      <c r="G79">
        <f>0.7</f>
        <v>0.7</v>
      </c>
      <c r="H79" s="3" t="s">
        <v>15</v>
      </c>
      <c r="I79" s="3" t="s">
        <v>11</v>
      </c>
      <c r="J79" t="s">
        <v>23</v>
      </c>
      <c r="K79">
        <f t="shared" si="4"/>
        <v>1.4</v>
      </c>
    </row>
    <row r="80" spans="2:11" x14ac:dyDescent="0.3">
      <c r="B80" s="8"/>
      <c r="D80" t="s">
        <v>56</v>
      </c>
      <c r="E80">
        <v>3</v>
      </c>
      <c r="G80">
        <v>2</v>
      </c>
      <c r="J80" t="s">
        <v>22</v>
      </c>
      <c r="K80">
        <f t="shared" ref="K80:K87" si="5">G80*E80</f>
        <v>6</v>
      </c>
    </row>
    <row r="81" spans="2:11" x14ac:dyDescent="0.3">
      <c r="B81" s="8"/>
      <c r="D81" t="s">
        <v>58</v>
      </c>
      <c r="E81">
        <v>1</v>
      </c>
      <c r="G81">
        <v>1</v>
      </c>
      <c r="H81" t="s">
        <v>16</v>
      </c>
      <c r="K81">
        <f t="shared" si="5"/>
        <v>1</v>
      </c>
    </row>
    <row r="82" spans="2:11" x14ac:dyDescent="0.3">
      <c r="B82" s="11"/>
      <c r="D82" t="s">
        <v>59</v>
      </c>
      <c r="E82">
        <v>1</v>
      </c>
      <c r="F82" t="s">
        <v>27</v>
      </c>
      <c r="G82">
        <v>5.5</v>
      </c>
      <c r="H82" s="3" t="s">
        <v>15</v>
      </c>
      <c r="I82" s="3" t="s">
        <v>11</v>
      </c>
      <c r="K82">
        <f t="shared" si="5"/>
        <v>5.5</v>
      </c>
    </row>
    <row r="83" spans="2:11" x14ac:dyDescent="0.3">
      <c r="B83" s="8"/>
      <c r="D83" t="s">
        <v>29</v>
      </c>
      <c r="E83">
        <v>1</v>
      </c>
      <c r="F83" t="s">
        <v>28</v>
      </c>
      <c r="G83">
        <f>2.13*1.22</f>
        <v>2.5985999999999998</v>
      </c>
      <c r="H83" s="3" t="s">
        <v>16</v>
      </c>
      <c r="I83" s="3" t="s">
        <v>11</v>
      </c>
      <c r="J83" t="s">
        <v>72</v>
      </c>
      <c r="K83">
        <f t="shared" si="5"/>
        <v>2.5985999999999998</v>
      </c>
    </row>
    <row r="84" spans="2:11" ht="15.6" customHeight="1" x14ac:dyDescent="0.3">
      <c r="B84" s="8"/>
      <c r="D84" t="s">
        <v>61</v>
      </c>
      <c r="E84">
        <v>1</v>
      </c>
      <c r="F84" t="s">
        <v>60</v>
      </c>
      <c r="G84">
        <f>5.7*1.22</f>
        <v>6.9539999999999997</v>
      </c>
      <c r="H84" s="3" t="s">
        <v>16</v>
      </c>
      <c r="I84" s="3" t="s">
        <v>11</v>
      </c>
      <c r="J84" t="s">
        <v>62</v>
      </c>
      <c r="K84">
        <f t="shared" si="5"/>
        <v>6.9539999999999997</v>
      </c>
    </row>
    <row r="85" spans="2:11" x14ac:dyDescent="0.3">
      <c r="B85" s="9"/>
      <c r="D85" t="s">
        <v>63</v>
      </c>
      <c r="E85">
        <v>3</v>
      </c>
      <c r="G85">
        <v>10</v>
      </c>
      <c r="J85" t="s">
        <v>64</v>
      </c>
      <c r="K85">
        <f t="shared" si="5"/>
        <v>30</v>
      </c>
    </row>
    <row r="86" spans="2:11" x14ac:dyDescent="0.3">
      <c r="B86" s="8"/>
      <c r="D86" t="s">
        <v>118</v>
      </c>
      <c r="E86">
        <v>1</v>
      </c>
      <c r="G86">
        <v>8</v>
      </c>
      <c r="H86" s="3"/>
      <c r="I86" s="3"/>
      <c r="J86" t="s">
        <v>119</v>
      </c>
      <c r="K86">
        <f t="shared" si="5"/>
        <v>8</v>
      </c>
    </row>
    <row r="87" spans="2:11" x14ac:dyDescent="0.3">
      <c r="B87" s="8"/>
      <c r="D87" t="s">
        <v>32</v>
      </c>
      <c r="E87">
        <v>1</v>
      </c>
      <c r="G87">
        <v>5</v>
      </c>
      <c r="H87" t="s">
        <v>16</v>
      </c>
      <c r="K87">
        <f t="shared" si="5"/>
        <v>5</v>
      </c>
    </row>
    <row r="88" spans="2:11" x14ac:dyDescent="0.3">
      <c r="B88" s="7"/>
    </row>
    <row r="89" spans="2:11" x14ac:dyDescent="0.3">
      <c r="B89" s="7"/>
      <c r="D89" t="s">
        <v>6</v>
      </c>
      <c r="K89">
        <f>SUM(K78:K88)</f>
        <v>67.152600000000007</v>
      </c>
    </row>
    <row r="90" spans="2:11" x14ac:dyDescent="0.3">
      <c r="B90" s="7"/>
    </row>
    <row r="91" spans="2:11" x14ac:dyDescent="0.3">
      <c r="B91" s="7"/>
    </row>
    <row r="92" spans="2:11" ht="18" x14ac:dyDescent="0.35">
      <c r="B92" s="7"/>
      <c r="D92" s="4" t="s">
        <v>66</v>
      </c>
    </row>
    <row r="93" spans="2:11" x14ac:dyDescent="0.3">
      <c r="B93" s="7"/>
    </row>
    <row r="94" spans="2:11" x14ac:dyDescent="0.3">
      <c r="B94" s="7"/>
      <c r="D94" s="1" t="s">
        <v>8</v>
      </c>
      <c r="E94" s="1" t="s">
        <v>9</v>
      </c>
      <c r="F94" s="1" t="s">
        <v>2</v>
      </c>
      <c r="G94" s="1" t="s">
        <v>3</v>
      </c>
      <c r="H94" s="1" t="s">
        <v>4</v>
      </c>
      <c r="I94" s="1" t="s">
        <v>5</v>
      </c>
      <c r="J94" s="1" t="s">
        <v>21</v>
      </c>
      <c r="K94" s="1" t="s">
        <v>6</v>
      </c>
    </row>
    <row r="95" spans="2:11" x14ac:dyDescent="0.3">
      <c r="B95" s="11"/>
      <c r="D95" t="s">
        <v>69</v>
      </c>
      <c r="E95">
        <v>1</v>
      </c>
      <c r="G95">
        <v>10</v>
      </c>
      <c r="H95" s="3" t="s">
        <v>17</v>
      </c>
      <c r="I95" s="3" t="s">
        <v>11</v>
      </c>
      <c r="J95" t="s">
        <v>70</v>
      </c>
      <c r="K95">
        <f>G95*E95</f>
        <v>10</v>
      </c>
    </row>
    <row r="96" spans="2:11" x14ac:dyDescent="0.3">
      <c r="B96" s="12"/>
      <c r="D96" t="s">
        <v>71</v>
      </c>
      <c r="E96">
        <v>2</v>
      </c>
      <c r="G96">
        <v>5</v>
      </c>
      <c r="J96" t="s">
        <v>22</v>
      </c>
      <c r="K96">
        <f>G96*E96</f>
        <v>10</v>
      </c>
    </row>
    <row r="97" spans="2:12" x14ac:dyDescent="0.3">
      <c r="B97" s="8"/>
      <c r="D97" t="s">
        <v>73</v>
      </c>
      <c r="E97">
        <v>1</v>
      </c>
      <c r="G97">
        <v>3</v>
      </c>
      <c r="J97" t="s">
        <v>22</v>
      </c>
      <c r="K97">
        <f>G97*E97</f>
        <v>3</v>
      </c>
    </row>
    <row r="98" spans="2:12" x14ac:dyDescent="0.3">
      <c r="B98" s="8"/>
      <c r="D98" t="s">
        <v>67</v>
      </c>
      <c r="E98">
        <v>2</v>
      </c>
      <c r="F98" t="s">
        <v>19</v>
      </c>
      <c r="G98">
        <f>0.7</f>
        <v>0.7</v>
      </c>
      <c r="H98" s="3" t="s">
        <v>15</v>
      </c>
      <c r="I98" s="3" t="s">
        <v>11</v>
      </c>
      <c r="J98" t="s">
        <v>23</v>
      </c>
      <c r="K98">
        <f t="shared" ref="K98:K99" si="6">G98*E98</f>
        <v>1.4</v>
      </c>
    </row>
    <row r="99" spans="2:12" x14ac:dyDescent="0.3">
      <c r="B99" s="8"/>
      <c r="D99" t="s">
        <v>68</v>
      </c>
      <c r="E99">
        <v>2</v>
      </c>
      <c r="F99" t="s">
        <v>19</v>
      </c>
      <c r="G99">
        <f>0.7</f>
        <v>0.7</v>
      </c>
      <c r="H99" s="3" t="s">
        <v>15</v>
      </c>
      <c r="I99" s="3" t="s">
        <v>11</v>
      </c>
      <c r="J99" t="s">
        <v>23</v>
      </c>
      <c r="K99">
        <f t="shared" si="6"/>
        <v>1.4</v>
      </c>
    </row>
    <row r="100" spans="2:12" x14ac:dyDescent="0.3">
      <c r="B100" s="8"/>
      <c r="D100" t="s">
        <v>56</v>
      </c>
      <c r="E100">
        <v>2</v>
      </c>
      <c r="G100">
        <v>2</v>
      </c>
      <c r="J100" t="s">
        <v>22</v>
      </c>
      <c r="K100">
        <f>G100*E100</f>
        <v>4</v>
      </c>
    </row>
    <row r="101" spans="2:12" x14ac:dyDescent="0.3">
      <c r="B101" s="11"/>
      <c r="D101" t="s">
        <v>59</v>
      </c>
      <c r="E101">
        <v>1</v>
      </c>
      <c r="F101" t="s">
        <v>27</v>
      </c>
      <c r="G101">
        <v>5.5</v>
      </c>
      <c r="H101" s="3" t="s">
        <v>15</v>
      </c>
      <c r="I101" s="3" t="s">
        <v>11</v>
      </c>
      <c r="K101">
        <f>G101*E101</f>
        <v>5.5</v>
      </c>
    </row>
    <row r="102" spans="2:12" x14ac:dyDescent="0.3">
      <c r="B102" s="11"/>
      <c r="D102" t="s">
        <v>32</v>
      </c>
      <c r="E102">
        <v>1</v>
      </c>
      <c r="G102">
        <v>5</v>
      </c>
      <c r="H102" t="s">
        <v>16</v>
      </c>
      <c r="K102">
        <f>G102*E102</f>
        <v>5</v>
      </c>
    </row>
    <row r="103" spans="2:12" x14ac:dyDescent="0.3">
      <c r="B103" s="11"/>
      <c r="D103" t="s">
        <v>74</v>
      </c>
      <c r="E103">
        <v>1</v>
      </c>
      <c r="G103">
        <v>50</v>
      </c>
      <c r="H103" t="s">
        <v>16</v>
      </c>
      <c r="J103" t="s">
        <v>22</v>
      </c>
      <c r="K103">
        <f>G103*E103</f>
        <v>50</v>
      </c>
      <c r="L103" t="s">
        <v>101</v>
      </c>
    </row>
    <row r="104" spans="2:12" x14ac:dyDescent="0.3">
      <c r="B104" s="11"/>
      <c r="D104" t="s">
        <v>77</v>
      </c>
      <c r="E104">
        <v>1</v>
      </c>
      <c r="G104">
        <f>6.6*1.22</f>
        <v>8.0519999999999996</v>
      </c>
      <c r="H104" t="s">
        <v>16</v>
      </c>
      <c r="J104" t="s">
        <v>22</v>
      </c>
      <c r="K104">
        <f>G104*E104</f>
        <v>8.0519999999999996</v>
      </c>
    </row>
    <row r="105" spans="2:12" x14ac:dyDescent="0.3">
      <c r="B105" s="7"/>
    </row>
    <row r="106" spans="2:12" x14ac:dyDescent="0.3">
      <c r="B106" s="7"/>
      <c r="D106" t="s">
        <v>6</v>
      </c>
      <c r="K106">
        <f>SUM(K91:K104)</f>
        <v>98.352000000000004</v>
      </c>
    </row>
    <row r="107" spans="2:12" x14ac:dyDescent="0.3">
      <c r="B107" s="7"/>
    </row>
    <row r="108" spans="2:12" x14ac:dyDescent="0.3">
      <c r="B108" s="7"/>
    </row>
    <row r="109" spans="2:12" ht="18" x14ac:dyDescent="0.35">
      <c r="B109" s="7"/>
      <c r="D109" s="4" t="s">
        <v>75</v>
      </c>
    </row>
    <row r="110" spans="2:12" x14ac:dyDescent="0.3">
      <c r="B110" s="7"/>
    </row>
    <row r="111" spans="2:12" x14ac:dyDescent="0.3">
      <c r="B111" s="7"/>
      <c r="D111" s="1" t="s">
        <v>8</v>
      </c>
      <c r="E111" s="1" t="s">
        <v>9</v>
      </c>
      <c r="F111" s="1" t="s">
        <v>2</v>
      </c>
      <c r="G111" s="1" t="s">
        <v>3</v>
      </c>
      <c r="H111" s="1" t="s">
        <v>4</v>
      </c>
      <c r="I111" s="1" t="s">
        <v>5</v>
      </c>
      <c r="J111" s="1" t="s">
        <v>21</v>
      </c>
      <c r="K111" s="1" t="s">
        <v>6</v>
      </c>
    </row>
    <row r="112" spans="2:12" x14ac:dyDescent="0.3">
      <c r="B112" s="13"/>
      <c r="D112" t="s">
        <v>69</v>
      </c>
      <c r="E112">
        <v>1</v>
      </c>
      <c r="G112">
        <v>10</v>
      </c>
      <c r="H112" s="3" t="s">
        <v>17</v>
      </c>
      <c r="I112" s="3" t="s">
        <v>11</v>
      </c>
      <c r="J112" t="s">
        <v>70</v>
      </c>
      <c r="K112">
        <f t="shared" ref="K112:K115" si="7">G112*E112</f>
        <v>10</v>
      </c>
    </row>
    <row r="113" spans="2:11" x14ac:dyDescent="0.3">
      <c r="B113" s="9"/>
      <c r="D113" t="s">
        <v>71</v>
      </c>
      <c r="E113">
        <v>2</v>
      </c>
      <c r="G113">
        <v>5</v>
      </c>
      <c r="J113" t="s">
        <v>22</v>
      </c>
      <c r="K113">
        <f t="shared" si="7"/>
        <v>10</v>
      </c>
    </row>
    <row r="114" spans="2:11" x14ac:dyDescent="0.3">
      <c r="B114" s="9"/>
      <c r="D114" t="s">
        <v>73</v>
      </c>
      <c r="E114">
        <v>1</v>
      </c>
      <c r="G114">
        <v>6</v>
      </c>
      <c r="J114" t="s">
        <v>22</v>
      </c>
      <c r="K114">
        <f t="shared" si="7"/>
        <v>6</v>
      </c>
    </row>
    <row r="115" spans="2:11" x14ac:dyDescent="0.3">
      <c r="B115" s="9"/>
      <c r="D115" t="s">
        <v>59</v>
      </c>
      <c r="E115">
        <v>1</v>
      </c>
      <c r="F115" t="s">
        <v>27</v>
      </c>
      <c r="G115">
        <v>5.5</v>
      </c>
      <c r="H115" s="3" t="s">
        <v>15</v>
      </c>
      <c r="I115" s="3" t="s">
        <v>11</v>
      </c>
      <c r="K115">
        <f t="shared" si="7"/>
        <v>5.5</v>
      </c>
    </row>
    <row r="116" spans="2:11" x14ac:dyDescent="0.3">
      <c r="B116" s="9"/>
      <c r="D116" t="s">
        <v>32</v>
      </c>
      <c r="E116">
        <v>1</v>
      </c>
      <c r="G116">
        <v>5</v>
      </c>
      <c r="H116" t="s">
        <v>16</v>
      </c>
      <c r="K116">
        <f>G116*E116</f>
        <v>5</v>
      </c>
    </row>
    <row r="117" spans="2:11" x14ac:dyDescent="0.3">
      <c r="B117" s="9"/>
      <c r="D117" t="s">
        <v>74</v>
      </c>
      <c r="E117">
        <v>1</v>
      </c>
      <c r="G117">
        <v>30</v>
      </c>
      <c r="H117" t="s">
        <v>16</v>
      </c>
      <c r="J117" t="s">
        <v>22</v>
      </c>
      <c r="K117">
        <f>G117*E117</f>
        <v>30</v>
      </c>
    </row>
    <row r="118" spans="2:11" x14ac:dyDescent="0.3">
      <c r="B118" s="9"/>
      <c r="D118" t="s">
        <v>77</v>
      </c>
      <c r="E118">
        <v>1</v>
      </c>
      <c r="G118">
        <f>6.6*1.22</f>
        <v>8.0519999999999996</v>
      </c>
      <c r="H118" t="s">
        <v>16</v>
      </c>
      <c r="J118" t="s">
        <v>22</v>
      </c>
      <c r="K118">
        <f>G118*E118</f>
        <v>8.0519999999999996</v>
      </c>
    </row>
    <row r="119" spans="2:11" x14ac:dyDescent="0.3">
      <c r="B119" s="7"/>
    </row>
    <row r="120" spans="2:11" x14ac:dyDescent="0.3">
      <c r="B120" s="7"/>
      <c r="D120" t="s">
        <v>6</v>
      </c>
      <c r="K120">
        <f>SUM(K108:K118)</f>
        <v>74.551999999999992</v>
      </c>
    </row>
    <row r="121" spans="2:11" x14ac:dyDescent="0.3">
      <c r="B121" s="7"/>
    </row>
    <row r="122" spans="2:11" x14ac:dyDescent="0.3">
      <c r="B122" s="7"/>
    </row>
    <row r="123" spans="2:11" x14ac:dyDescent="0.3">
      <c r="B123" s="7"/>
      <c r="D123" t="s">
        <v>76</v>
      </c>
      <c r="K123">
        <f>K120+K106+K89+K71+K36+K50</f>
        <v>736.04819999999984</v>
      </c>
    </row>
    <row r="127" spans="2:11" ht="18" x14ac:dyDescent="0.35">
      <c r="D127" s="4" t="s">
        <v>110</v>
      </c>
    </row>
    <row r="130" spans="4:11" x14ac:dyDescent="0.3">
      <c r="D130" t="s">
        <v>114</v>
      </c>
      <c r="E130">
        <v>1</v>
      </c>
      <c r="F130" t="s">
        <v>113</v>
      </c>
      <c r="G130">
        <v>12</v>
      </c>
      <c r="H130" s="3" t="s">
        <v>15</v>
      </c>
      <c r="K130">
        <f>G130*E130</f>
        <v>12</v>
      </c>
    </row>
    <row r="131" spans="4:11" x14ac:dyDescent="0.3">
      <c r="D131" t="s">
        <v>116</v>
      </c>
      <c r="E131">
        <v>1</v>
      </c>
      <c r="G131">
        <v>8</v>
      </c>
      <c r="H131" s="3" t="s">
        <v>15</v>
      </c>
      <c r="K131">
        <f t="shared" ref="K131:K132" si="8">G131*E131</f>
        <v>8</v>
      </c>
    </row>
    <row r="132" spans="4:11" x14ac:dyDescent="0.3">
      <c r="D132" t="s">
        <v>117</v>
      </c>
      <c r="E132">
        <v>1</v>
      </c>
      <c r="G132">
        <v>10</v>
      </c>
      <c r="H132" s="3" t="s">
        <v>15</v>
      </c>
      <c r="K132">
        <f t="shared" si="8"/>
        <v>10</v>
      </c>
    </row>
  </sheetData>
  <hyperlinks>
    <hyperlink ref="H10" r:id="rId1" xr:uid="{8DE83EDE-8315-41BA-942D-7AB5229B75BB}"/>
    <hyperlink ref="I10" r:id="rId2" xr:uid="{E5B936F4-823E-4DDD-947C-605B7124984C}"/>
    <hyperlink ref="I11" r:id="rId3" xr:uid="{9DA52B8C-1E29-4CF2-929C-EBDED3E80908}"/>
    <hyperlink ref="H12" r:id="rId4" xr:uid="{E9F5F4A1-9BD7-45F5-90B3-8D935AD3D96A}"/>
    <hyperlink ref="H16" r:id="rId5" xr:uid="{D81E63D3-0404-445A-90C8-3B500FFFAF12}"/>
    <hyperlink ref="H21" r:id="rId6" xr:uid="{E3A39314-6B8A-47AE-8543-76B9B5074412}"/>
    <hyperlink ref="I21" r:id="rId7" xr:uid="{15DC060D-188A-4289-B709-33BAB6CFBD65}"/>
    <hyperlink ref="H22" r:id="rId8" xr:uid="{ECEFD30C-7AEB-474C-91D2-C45FFE583B5F}"/>
    <hyperlink ref="I22" r:id="rId9" xr:uid="{33141CA6-9AA7-428F-BF61-3B4F3B300CFA}"/>
    <hyperlink ref="H23" r:id="rId10" xr:uid="{ADFF6CC9-92E7-4D8F-9D0E-141999DAE1BA}"/>
    <hyperlink ref="I23" r:id="rId11" xr:uid="{78304058-BCD5-48FA-9D65-721B2D008052}"/>
    <hyperlink ref="H26" r:id="rId12" xr:uid="{01E88008-010E-492C-B147-6545814FD1CF}"/>
    <hyperlink ref="I26" r:id="rId13" xr:uid="{2DB1F2AA-EBF6-46DB-8EBB-1B4F5B0E2D24}"/>
    <hyperlink ref="I25" r:id="rId14" xr:uid="{3C991BC7-E66E-4FFF-BA63-02FF746586F8}"/>
    <hyperlink ref="H25" r:id="rId15" xr:uid="{08F93160-D61B-4603-B22D-FD42357C6E74}"/>
    <hyperlink ref="H27" r:id="rId16" xr:uid="{2165C5D2-7B45-42A2-8421-32D34C5C0ED8}"/>
    <hyperlink ref="I27" r:id="rId17" xr:uid="{943EC1AB-5105-4D3E-9BF1-944596C0CBBB}"/>
    <hyperlink ref="H29" r:id="rId18" xr:uid="{E6293077-DC57-4F54-ACAE-C97FC127B649}"/>
    <hyperlink ref="H62" r:id="rId19" xr:uid="{E2AA9F72-FD27-4B03-BA8B-3791B7DD1BF6}"/>
    <hyperlink ref="I63" r:id="rId20" xr:uid="{1C4306CE-5613-4C49-8DF3-A6AECB8353EB}"/>
    <hyperlink ref="H63" r:id="rId21" xr:uid="{D0402799-0520-455E-A8ED-DC4F8F3C2224}"/>
    <hyperlink ref="H64" r:id="rId22" xr:uid="{29F7590B-5AFE-44C6-B029-ECD214BAED6A}"/>
    <hyperlink ref="I67" r:id="rId23" xr:uid="{43A286B9-B20D-47C0-89EB-C664C5DA2697}"/>
    <hyperlink ref="I17" r:id="rId24" xr:uid="{FF8BBCC4-6C8E-4E76-803A-3FCB921F9D7A}"/>
    <hyperlink ref="I66" r:id="rId25" xr:uid="{98C20EAB-AF6E-4BDA-951E-A7C9ABF8296C}"/>
    <hyperlink ref="I79" r:id="rId26" xr:uid="{29D7C3B1-5B5B-47B6-A959-74F548A25C95}"/>
    <hyperlink ref="I78" r:id="rId27" xr:uid="{AD01671D-C0D6-4481-BE1A-1976B95D01D8}"/>
    <hyperlink ref="H82" r:id="rId28" xr:uid="{AB08527C-FB37-4F93-9D0C-418DEB92E55B}"/>
    <hyperlink ref="I82" r:id="rId29" xr:uid="{CDF07879-5794-4338-A283-2BABBC078C9D}"/>
    <hyperlink ref="H84" r:id="rId30" xr:uid="{EADCEC3C-22EC-4033-B152-B968D84B7A86}"/>
    <hyperlink ref="I84" r:id="rId31" xr:uid="{2D2EB6C3-795D-4BA3-AFA4-C2DE854FECF6}"/>
    <hyperlink ref="H95" r:id="rId32" xr:uid="{1D0D7605-D883-4383-9CF3-D732F3CA6736}"/>
    <hyperlink ref="I95" r:id="rId33" xr:uid="{475BEC51-82FB-408F-856F-B8A972B6EFD2}"/>
    <hyperlink ref="H83" r:id="rId34" xr:uid="{2FAF83EE-943B-44FA-88F9-9F7286B968D5}"/>
    <hyperlink ref="I83" r:id="rId35" xr:uid="{00B5A132-B1A9-4376-AF75-91C2EFAD0274}"/>
    <hyperlink ref="H101" r:id="rId36" xr:uid="{D678F369-1E99-40F2-ADF1-00FBD5BC4175}"/>
    <hyperlink ref="I101" r:id="rId37" xr:uid="{87B958D4-403C-4EB4-975C-2994D3096E55}"/>
    <hyperlink ref="H112" r:id="rId38" xr:uid="{208E0E44-6EDB-4B8B-9055-7B9DD2493327}"/>
    <hyperlink ref="I112" r:id="rId39" xr:uid="{A5CDDD78-DB82-4FA3-B692-2EB3458BA1EF}"/>
    <hyperlink ref="H115" r:id="rId40" xr:uid="{C2A99830-6183-40DC-B24D-5E43D1B3C444}"/>
    <hyperlink ref="I115" r:id="rId41" xr:uid="{10F37FDB-3ABA-41BC-A8BD-D97937290722}"/>
    <hyperlink ref="I99" r:id="rId42" xr:uid="{B2860682-E11F-4D62-A24F-B34333DA6B82}"/>
    <hyperlink ref="I98" r:id="rId43" xr:uid="{9E25BE72-DBD1-45A9-9FB0-3053FB69C331}"/>
    <hyperlink ref="H11" r:id="rId44" xr:uid="{89682B16-8F69-47F7-AA52-33B9B5995753}"/>
    <hyperlink ref="I15" r:id="rId45" xr:uid="{117AE398-8E5F-4BBD-A797-FD38D1D8432C}"/>
    <hyperlink ref="I16" r:id="rId46" xr:uid="{7ED1BBBC-B2A7-49CE-B6A0-4493F46034F5}"/>
    <hyperlink ref="I45" r:id="rId47" xr:uid="{BC542B8E-FA82-4A68-9838-F00C19AC9DA4}"/>
    <hyperlink ref="H45" r:id="rId48" xr:uid="{10697A78-331C-4EAC-B715-684B5793C248}"/>
    <hyperlink ref="H17" r:id="rId49" xr:uid="{6D124CF5-E05B-4784-B8BC-A0A42DF0E6A7}"/>
    <hyperlink ref="H66" r:id="rId50" xr:uid="{D726DFF2-9AB0-4416-A45F-7805A493C678}"/>
    <hyperlink ref="H67" r:id="rId51" xr:uid="{0EF43F6D-B066-49A1-A3BE-8162AB938226}"/>
    <hyperlink ref="H78" r:id="rId52" xr:uid="{72C70603-DADE-4702-9D1F-17DA409E657F}"/>
    <hyperlink ref="H79" r:id="rId53" xr:uid="{7846CA81-F77D-4E85-8EEC-142327133DEE}"/>
    <hyperlink ref="H98" r:id="rId54" xr:uid="{320F72B9-A468-4484-A65A-72431FBDC008}"/>
    <hyperlink ref="H99" r:id="rId55" xr:uid="{459293DA-BFEC-447F-A96F-1CB5535E3C79}"/>
    <hyperlink ref="H18" r:id="rId56" xr:uid="{00892246-4932-45A4-95D4-7B4BC25B7D44}"/>
    <hyperlink ref="H33" r:id="rId57" xr:uid="{846611C6-AF14-43AB-ACAF-CD3BA59176CE}"/>
    <hyperlink ref="H32" r:id="rId58" xr:uid="{9F59BE25-0AD8-4238-B874-129BAF9A61A6}"/>
    <hyperlink ref="I32" r:id="rId59" xr:uid="{D7F5C2BB-AEDC-4E1D-9A74-73FCF9901F69}"/>
    <hyperlink ref="H30" r:id="rId60" xr:uid="{6022ED9E-3B59-4AAE-AB8D-A685F05A385E}"/>
    <hyperlink ref="H31" r:id="rId61" xr:uid="{8EB83921-D970-4B48-BED0-CCB078F876A7}"/>
    <hyperlink ref="H43" r:id="rId62" xr:uid="{C5AEAAB4-9B44-456C-A83C-7AE24C442AEF}"/>
    <hyperlink ref="H44" r:id="rId63" xr:uid="{07F01148-3324-4A2E-B82B-DB447B6AB47C}"/>
    <hyperlink ref="I46" r:id="rId64" xr:uid="{B7128D77-1B6C-489A-8D3C-FB23F9D33097}"/>
    <hyperlink ref="H49" r:id="rId65" xr:uid="{B27F30AA-597B-411D-ACFB-51EC499C81D0}"/>
    <hyperlink ref="I49" r:id="rId66" xr:uid="{A2C6026A-D08A-4B49-AFAE-FCC3C7449B57}"/>
    <hyperlink ref="H15" r:id="rId67" xr:uid="{D1A59088-97E4-4E7A-973C-191B74A918E7}"/>
    <hyperlink ref="H19" r:id="rId68" xr:uid="{80A66C95-0009-4004-A973-E0E64205D4B3}"/>
    <hyperlink ref="H20" r:id="rId69" xr:uid="{ED105917-7458-4A21-B3C1-03F9E5323819}"/>
    <hyperlink ref="H46" r:id="rId70" xr:uid="{7B99E9E4-468D-4579-945A-35F1B06C0865}"/>
    <hyperlink ref="H13" r:id="rId71" xr:uid="{1A1B10C9-070A-40AB-851E-74DA59C5DD12}"/>
    <hyperlink ref="H130" r:id="rId72" xr:uid="{5305AAED-47EB-4D6D-B6CA-4FCF4E22FD80}"/>
    <hyperlink ref="H14" r:id="rId73" xr:uid="{EF35DDBA-818D-4F16-B67A-64F72628AD77}"/>
    <hyperlink ref="I14" r:id="rId74" xr:uid="{5DF5DE6E-B6A6-4C94-9933-37DD1530C400}"/>
    <hyperlink ref="H131" r:id="rId75" xr:uid="{DCFEDA7B-7C3D-444B-95A6-011A0969DD29}"/>
    <hyperlink ref="H132" r:id="rId76" xr:uid="{7D0D8848-AFEB-4058-8908-40C02F405BD9}"/>
  </hyperlinks>
  <pageMargins left="0.7" right="0.7" top="0.75" bottom="0.75" header="0.3" footer="0.3"/>
  <pageSetup paperSize="9" orientation="portrait" r:id="rId7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borghi</dc:creator>
  <cp:lastModifiedBy>Valerio Borghi - valerio.borghi2@studio.unibo.it</cp:lastModifiedBy>
  <dcterms:created xsi:type="dcterms:W3CDTF">2015-06-05T18:17:20Z</dcterms:created>
  <dcterms:modified xsi:type="dcterms:W3CDTF">2024-08-07T10:35:54Z</dcterms:modified>
</cp:coreProperties>
</file>